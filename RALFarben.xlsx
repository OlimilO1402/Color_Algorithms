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codeName="DieseArbeitsmappe"/>
  <mc:AlternateContent xmlns:mc="http://schemas.openxmlformats.org/markup-compatibility/2006">
    <mc:Choice Requires="x15">
      <x15ac:absPath xmlns:x15ac="http://schemas.microsoft.com/office/spreadsheetml/2010/11/ac" url="\\SOLS_DS\Daten\GitHubRepos\VB\Color_Algorithms\"/>
    </mc:Choice>
  </mc:AlternateContent>
  <xr:revisionPtr revIDLastSave="0" documentId="13_ncr:9_{42FE07C0-801E-4257-98B7-7A27EB2C5DB3}" xr6:coauthVersionLast="47" xr6:coauthVersionMax="47" xr10:uidLastSave="{00000000-0000-0000-0000-000000000000}"/>
  <bookViews>
    <workbookView xWindow="38280" yWindow="3015" windowWidth="29040" windowHeight="16440" activeTab="3" xr2:uid="{00000000-000D-0000-FFFF-FFFF00000000}"/>
  </bookViews>
  <sheets>
    <sheet name="RAL 1x" sheetId="1" r:id="rId1"/>
    <sheet name="RAL 2x" sheetId="2" r:id="rId2"/>
    <sheet name="RAL 3x" sheetId="3" r:id="rId3"/>
    <sheet name="RAL 4x" sheetId="4" r:id="rId4"/>
    <sheet name="RAL 5x" sheetId="5" r:id="rId5"/>
    <sheet name="RAL 6x" sheetId="6" r:id="rId6"/>
    <sheet name="RAL 7x" sheetId="7" r:id="rId7"/>
    <sheet name="RAL 8x" sheetId="8" r:id="rId8"/>
    <sheet name="RAL 9x" sheetId="9" r:id="rId9"/>
    <sheet name="RAL F9" sheetId="10" r:id="rId10"/>
    <sheet name="Tabelle1" sheetId="11" r:id="rId11"/>
    <sheet name="Tabelle2" sheetId="12" r:id="rId1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M5" i="10" l="1"/>
  <c r="M6" i="10"/>
  <c r="M7" i="10"/>
  <c r="M8" i="10"/>
  <c r="M9" i="10"/>
  <c r="M10" i="10"/>
  <c r="M11" i="10"/>
  <c r="M4" i="10"/>
  <c r="L5" i="10"/>
  <c r="L6" i="10"/>
  <c r="L7" i="10"/>
  <c r="L8" i="10"/>
  <c r="L9" i="10"/>
  <c r="L10" i="10"/>
  <c r="L11" i="10"/>
  <c r="L4" i="10"/>
  <c r="M5" i="9"/>
  <c r="M9" i="9"/>
  <c r="M10" i="9"/>
  <c r="M15" i="9"/>
  <c r="M19" i="9"/>
  <c r="M4" i="9"/>
  <c r="L19" i="9"/>
  <c r="L5" i="9"/>
  <c r="L6" i="9"/>
  <c r="M6" i="9" s="1"/>
  <c r="L7" i="9"/>
  <c r="M7" i="9" s="1"/>
  <c r="L8" i="9"/>
  <c r="M8" i="9" s="1"/>
  <c r="L9" i="9"/>
  <c r="L10" i="9"/>
  <c r="L11" i="9"/>
  <c r="M11" i="9" s="1"/>
  <c r="L12" i="9"/>
  <c r="M12" i="9" s="1"/>
  <c r="L13" i="9"/>
  <c r="M13" i="9" s="1"/>
  <c r="L14" i="9"/>
  <c r="M14" i="9" s="1"/>
  <c r="L15" i="9"/>
  <c r="L16" i="9"/>
  <c r="M16" i="9" s="1"/>
  <c r="L17" i="9"/>
  <c r="M17" i="9" s="1"/>
  <c r="L18" i="9"/>
  <c r="M18" i="9" s="1"/>
  <c r="L4" i="9"/>
  <c r="M1" i="9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4" i="8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" i="7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M40" i="6" s="1"/>
  <c r="L4" i="6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4" i="5"/>
  <c r="M5" i="4"/>
  <c r="M7" i="4"/>
  <c r="L5" i="4"/>
  <c r="L6" i="4"/>
  <c r="M6" i="4" s="1"/>
  <c r="L7" i="4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4" i="4"/>
  <c r="M4" i="4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4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4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4" i="1"/>
  <c r="Z4" i="1"/>
  <c r="T4" i="1"/>
  <c r="K5" i="10"/>
  <c r="K6" i="10"/>
  <c r="K7" i="10"/>
  <c r="K8" i="10"/>
  <c r="K9" i="10"/>
  <c r="K10" i="10"/>
  <c r="K11" i="10"/>
  <c r="K4" i="10"/>
  <c r="E5" i="10"/>
  <c r="E6" i="10"/>
  <c r="E7" i="10"/>
  <c r="E8" i="10"/>
  <c r="E9" i="10"/>
  <c r="E10" i="10"/>
  <c r="E11" i="10"/>
  <c r="E4" i="10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4" i="9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4" i="8"/>
  <c r="E5" i="8"/>
  <c r="E6" i="8"/>
  <c r="E7" i="8"/>
  <c r="E8" i="8"/>
  <c r="E9" i="8"/>
  <c r="E10" i="8"/>
  <c r="E11" i="8"/>
  <c r="E12" i="8"/>
  <c r="E13" i="8"/>
  <c r="E14" i="8"/>
  <c r="E15" i="8"/>
  <c r="E16" i="8"/>
  <c r="I16" i="8" s="1"/>
  <c r="E17" i="8"/>
  <c r="I17" i="8" s="1"/>
  <c r="E18" i="8"/>
  <c r="I18" i="8" s="1"/>
  <c r="E19" i="8"/>
  <c r="I19" i="8" s="1"/>
  <c r="E20" i="8"/>
  <c r="I20" i="8" s="1"/>
  <c r="E21" i="8"/>
  <c r="I21" i="8" s="1"/>
  <c r="E22" i="8"/>
  <c r="I22" i="8" s="1"/>
  <c r="E23" i="8"/>
  <c r="I23" i="8" s="1"/>
  <c r="E4" i="8"/>
  <c r="I4" i="8" s="1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I22" i="7" s="1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" i="7"/>
  <c r="E5" i="6"/>
  <c r="I5" i="6" s="1"/>
  <c r="E6" i="6"/>
  <c r="I6" i="6" s="1"/>
  <c r="E7" i="6"/>
  <c r="I7" i="6" s="1"/>
  <c r="E8" i="6"/>
  <c r="E9" i="6"/>
  <c r="I9" i="6" s="1"/>
  <c r="E10" i="6"/>
  <c r="E11" i="6"/>
  <c r="I11" i="6" s="1"/>
  <c r="E12" i="6"/>
  <c r="I12" i="6" s="1"/>
  <c r="E13" i="6"/>
  <c r="E14" i="6"/>
  <c r="I14" i="6" s="1"/>
  <c r="E15" i="6"/>
  <c r="E16" i="6"/>
  <c r="I16" i="6" s="1"/>
  <c r="E17" i="6"/>
  <c r="E18" i="6"/>
  <c r="I18" i="6" s="1"/>
  <c r="E19" i="6"/>
  <c r="I19" i="6" s="1"/>
  <c r="E20" i="6"/>
  <c r="I20" i="6" s="1"/>
  <c r="E21" i="6"/>
  <c r="I21" i="6" s="1"/>
  <c r="E22" i="6"/>
  <c r="I22" i="6" s="1"/>
  <c r="E23" i="6"/>
  <c r="E24" i="6"/>
  <c r="I24" i="6" s="1"/>
  <c r="E25" i="6"/>
  <c r="E26" i="6"/>
  <c r="I26" i="6" s="1"/>
  <c r="E27" i="6"/>
  <c r="I27" i="6" s="1"/>
  <c r="E28" i="6"/>
  <c r="E29" i="6"/>
  <c r="I29" i="6" s="1"/>
  <c r="E30" i="6"/>
  <c r="E31" i="6"/>
  <c r="I31" i="6" s="1"/>
  <c r="E32" i="6"/>
  <c r="I32" i="6" s="1"/>
  <c r="E33" i="6"/>
  <c r="I33" i="6" s="1"/>
  <c r="E34" i="6"/>
  <c r="E35" i="6"/>
  <c r="E36" i="6"/>
  <c r="I36" i="6" s="1"/>
  <c r="E37" i="6"/>
  <c r="I37" i="6" s="1"/>
  <c r="E38" i="6"/>
  <c r="E39" i="6"/>
  <c r="I39" i="6" s="1"/>
  <c r="E40" i="6"/>
  <c r="E4" i="6"/>
  <c r="I4" i="6" s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" i="6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4" i="5"/>
  <c r="E5" i="5"/>
  <c r="E6" i="5"/>
  <c r="I6" i="5" s="1"/>
  <c r="E7" i="5"/>
  <c r="I7" i="5" s="1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I28" i="5" s="1"/>
  <c r="E4" i="5"/>
  <c r="K5" i="4"/>
  <c r="K6" i="4"/>
  <c r="K7" i="4"/>
  <c r="K8" i="4"/>
  <c r="K9" i="4"/>
  <c r="K10" i="4"/>
  <c r="K11" i="4"/>
  <c r="K12" i="4"/>
  <c r="K13" i="4"/>
  <c r="K14" i="4"/>
  <c r="K15" i="4"/>
  <c r="K4" i="4"/>
  <c r="E5" i="4"/>
  <c r="I5" i="4" s="1"/>
  <c r="E6" i="4"/>
  <c r="I6" i="4" s="1"/>
  <c r="E7" i="4"/>
  <c r="I7" i="4" s="1"/>
  <c r="E8" i="4"/>
  <c r="I8" i="4" s="1"/>
  <c r="E9" i="4"/>
  <c r="I9" i="4" s="1"/>
  <c r="E10" i="4"/>
  <c r="I10" i="4" s="1"/>
  <c r="E11" i="4"/>
  <c r="I11" i="4" s="1"/>
  <c r="E12" i="4"/>
  <c r="I12" i="4" s="1"/>
  <c r="E13" i="4"/>
  <c r="I13" i="4" s="1"/>
  <c r="E14" i="4"/>
  <c r="I14" i="4" s="1"/>
  <c r="E15" i="4"/>
  <c r="I15" i="4" s="1"/>
  <c r="E4" i="4"/>
  <c r="I4" i="4" s="1"/>
  <c r="K14" i="3"/>
  <c r="K15" i="3"/>
  <c r="K17" i="3"/>
  <c r="K22" i="3"/>
  <c r="K23" i="3"/>
  <c r="E6" i="3"/>
  <c r="E7" i="3"/>
  <c r="E8" i="3"/>
  <c r="E14" i="3"/>
  <c r="E22" i="3"/>
  <c r="E23" i="3"/>
  <c r="I23" i="3" s="1"/>
  <c r="E24" i="3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E5" i="2"/>
  <c r="E6" i="2"/>
  <c r="I6" i="2" s="1"/>
  <c r="E7" i="2"/>
  <c r="E8" i="2"/>
  <c r="E9" i="2"/>
  <c r="E10" i="2"/>
  <c r="E11" i="2"/>
  <c r="I11" i="2" s="1"/>
  <c r="E12" i="2"/>
  <c r="E13" i="2"/>
  <c r="E14" i="2"/>
  <c r="I14" i="2" s="1"/>
  <c r="E15" i="2"/>
  <c r="E16" i="2"/>
  <c r="E17" i="2"/>
  <c r="E4" i="2"/>
  <c r="I4" i="2" s="1"/>
  <c r="K6" i="3"/>
  <c r="K7" i="3"/>
  <c r="E9" i="3"/>
  <c r="I9" i="3" s="1"/>
  <c r="K12" i="3"/>
  <c r="E15" i="3"/>
  <c r="I15" i="3" s="1"/>
  <c r="E16" i="3"/>
  <c r="E17" i="3"/>
  <c r="I17" i="3" s="1"/>
  <c r="K20" i="3"/>
  <c r="E25" i="3"/>
  <c r="I25" i="3" s="1"/>
  <c r="K28" i="3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I5" i="10" l="1"/>
  <c r="I6" i="10"/>
  <c r="I7" i="10"/>
  <c r="I8" i="10"/>
  <c r="I9" i="10"/>
  <c r="I10" i="10"/>
  <c r="I11" i="10"/>
  <c r="I4" i="10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4" i="9"/>
  <c r="I5" i="8"/>
  <c r="I6" i="8"/>
  <c r="I7" i="8"/>
  <c r="I8" i="8"/>
  <c r="I9" i="8"/>
  <c r="I10" i="8"/>
  <c r="I11" i="8"/>
  <c r="I12" i="8"/>
  <c r="I13" i="8"/>
  <c r="I14" i="8"/>
  <c r="I15" i="8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" i="7"/>
  <c r="K5" i="1"/>
  <c r="I5" i="1"/>
  <c r="K6" i="1"/>
  <c r="I6" i="1"/>
  <c r="K7" i="1"/>
  <c r="I7" i="1"/>
  <c r="K8" i="1"/>
  <c r="I8" i="1"/>
  <c r="K9" i="1"/>
  <c r="I9" i="1"/>
  <c r="K10" i="1"/>
  <c r="I10" i="1"/>
  <c r="K11" i="1"/>
  <c r="I11" i="1"/>
  <c r="K12" i="1"/>
  <c r="I12" i="1"/>
  <c r="K13" i="1"/>
  <c r="I13" i="1"/>
  <c r="I14" i="1"/>
  <c r="K14" i="1"/>
  <c r="K15" i="1"/>
  <c r="I15" i="1"/>
  <c r="I16" i="1"/>
  <c r="K16" i="1"/>
  <c r="I17" i="1"/>
  <c r="K17" i="1"/>
  <c r="I18" i="1"/>
  <c r="K18" i="1"/>
  <c r="I19" i="1"/>
  <c r="K19" i="1"/>
  <c r="I20" i="1"/>
  <c r="K20" i="1"/>
  <c r="I21" i="1"/>
  <c r="K21" i="1"/>
  <c r="I22" i="1"/>
  <c r="K22" i="1"/>
  <c r="K23" i="1"/>
  <c r="I23" i="1"/>
  <c r="K24" i="1"/>
  <c r="I24" i="1"/>
  <c r="I25" i="1"/>
  <c r="K25" i="1"/>
  <c r="I26" i="1"/>
  <c r="K26" i="1"/>
  <c r="K27" i="1"/>
  <c r="I27" i="1"/>
  <c r="K28" i="1"/>
  <c r="I28" i="1"/>
  <c r="I29" i="1"/>
  <c r="K29" i="1"/>
  <c r="K30" i="1"/>
  <c r="I30" i="1"/>
  <c r="I31" i="1"/>
  <c r="K31" i="1"/>
  <c r="I32" i="1"/>
  <c r="K32" i="1"/>
  <c r="I33" i="1"/>
  <c r="K33" i="1"/>
  <c r="H4" i="1"/>
  <c r="I4" i="1"/>
  <c r="K4" i="1"/>
  <c r="I40" i="6"/>
  <c r="I38" i="6"/>
  <c r="I35" i="6"/>
  <c r="I34" i="6"/>
  <c r="I30" i="6"/>
  <c r="I28" i="6"/>
  <c r="I25" i="6"/>
  <c r="I23" i="6"/>
  <c r="I17" i="6"/>
  <c r="I15" i="6"/>
  <c r="I13" i="6"/>
  <c r="I10" i="6"/>
  <c r="I8" i="6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5" i="5"/>
  <c r="I4" i="5"/>
  <c r="I5" i="2"/>
  <c r="I13" i="2"/>
  <c r="I12" i="2"/>
  <c r="I10" i="2"/>
  <c r="I17" i="2"/>
  <c r="I9" i="2"/>
  <c r="I16" i="2"/>
  <c r="I8" i="2"/>
  <c r="I15" i="2"/>
  <c r="I7" i="2"/>
  <c r="K9" i="3"/>
  <c r="I7" i="3"/>
  <c r="K25" i="3"/>
  <c r="K27" i="3"/>
  <c r="K19" i="3"/>
  <c r="K11" i="3"/>
  <c r="I24" i="3"/>
  <c r="I16" i="3"/>
  <c r="I8" i="3"/>
  <c r="K26" i="3"/>
  <c r="K18" i="3"/>
  <c r="K10" i="3"/>
  <c r="E4" i="3"/>
  <c r="E21" i="3"/>
  <c r="E13" i="3"/>
  <c r="I13" i="3" s="1"/>
  <c r="E5" i="3"/>
  <c r="I22" i="3"/>
  <c r="I14" i="3"/>
  <c r="I6" i="3"/>
  <c r="K24" i="3"/>
  <c r="K16" i="3"/>
  <c r="K8" i="3"/>
  <c r="E12" i="3"/>
  <c r="I21" i="3"/>
  <c r="E28" i="3"/>
  <c r="I5" i="3"/>
  <c r="E20" i="3"/>
  <c r="H20" i="3" s="1"/>
  <c r="J20" i="3" s="1"/>
  <c r="E27" i="3"/>
  <c r="I27" i="3" s="1"/>
  <c r="E19" i="3"/>
  <c r="E11" i="3"/>
  <c r="E26" i="3"/>
  <c r="E18" i="3"/>
  <c r="I18" i="3" s="1"/>
  <c r="E10" i="3"/>
  <c r="H10" i="3" s="1"/>
  <c r="J10" i="3" s="1"/>
  <c r="K4" i="3"/>
  <c r="K21" i="3"/>
  <c r="K13" i="3"/>
  <c r="K5" i="3"/>
  <c r="H7" i="10"/>
  <c r="H8" i="10"/>
  <c r="G5" i="10"/>
  <c r="G6" i="10"/>
  <c r="G7" i="10"/>
  <c r="G8" i="10"/>
  <c r="G9" i="10"/>
  <c r="G10" i="10"/>
  <c r="G11" i="10"/>
  <c r="G4" i="10"/>
  <c r="H5" i="9"/>
  <c r="H8" i="9"/>
  <c r="H12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H10" i="9"/>
  <c r="H18" i="9"/>
  <c r="J18" i="9" s="1"/>
  <c r="G4" i="9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H11" i="8"/>
  <c r="H12" i="8"/>
  <c r="H20" i="8"/>
  <c r="G4" i="8"/>
  <c r="H10" i="7"/>
  <c r="H13" i="7"/>
  <c r="H18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H17" i="7"/>
  <c r="H25" i="7"/>
  <c r="H29" i="7"/>
  <c r="G4" i="7"/>
  <c r="H5" i="6"/>
  <c r="J5" i="6" s="1"/>
  <c r="H13" i="6"/>
  <c r="J13" i="6" s="1"/>
  <c r="H21" i="6"/>
  <c r="J21" i="6" s="1"/>
  <c r="H36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" i="6"/>
  <c r="H27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H15" i="5"/>
  <c r="J15" i="5" s="1"/>
  <c r="H19" i="5"/>
  <c r="J19" i="5" s="1"/>
  <c r="G4" i="5"/>
  <c r="H15" i="4"/>
  <c r="J15" i="4" s="1"/>
  <c r="G5" i="4"/>
  <c r="G6" i="4"/>
  <c r="G7" i="4"/>
  <c r="G8" i="4"/>
  <c r="G9" i="4"/>
  <c r="G10" i="4"/>
  <c r="G11" i="4"/>
  <c r="G12" i="4"/>
  <c r="G13" i="4"/>
  <c r="G14" i="4"/>
  <c r="G15" i="4"/>
  <c r="G4" i="4"/>
  <c r="H14" i="4"/>
  <c r="H9" i="3"/>
  <c r="H13" i="3"/>
  <c r="H17" i="3"/>
  <c r="H21" i="3"/>
  <c r="J21" i="3" s="1"/>
  <c r="H25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H6" i="3"/>
  <c r="H7" i="3"/>
  <c r="H8" i="3"/>
  <c r="H14" i="3"/>
  <c r="H15" i="3"/>
  <c r="H16" i="3"/>
  <c r="H22" i="3"/>
  <c r="H23" i="3"/>
  <c r="H24" i="3"/>
  <c r="G4" i="3"/>
  <c r="H5" i="2"/>
  <c r="H8" i="2"/>
  <c r="H9" i="2"/>
  <c r="H12" i="2"/>
  <c r="H13" i="2"/>
  <c r="H15" i="2"/>
  <c r="H16" i="2"/>
  <c r="H6" i="2"/>
  <c r="H14" i="2"/>
  <c r="H1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4" i="2"/>
  <c r="H5" i="1"/>
  <c r="H6" i="1"/>
  <c r="H13" i="1"/>
  <c r="H14" i="1"/>
  <c r="H17" i="1"/>
  <c r="H21" i="1"/>
  <c r="H22" i="1"/>
  <c r="H25" i="1"/>
  <c r="H26" i="1"/>
  <c r="H29" i="1"/>
  <c r="H30" i="1"/>
  <c r="H3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7" i="1"/>
  <c r="H8" i="1"/>
  <c r="H12" i="1"/>
  <c r="H16" i="1"/>
  <c r="H20" i="1"/>
  <c r="H24" i="1"/>
  <c r="H28" i="1"/>
  <c r="H32" i="1"/>
  <c r="G4" i="1"/>
  <c r="J10" i="9" l="1"/>
  <c r="J36" i="6"/>
  <c r="J27" i="5"/>
  <c r="J4" i="1"/>
  <c r="J17" i="1"/>
  <c r="J21" i="1"/>
  <c r="J22" i="1"/>
  <c r="J25" i="1"/>
  <c r="J26" i="1"/>
  <c r="J29" i="1"/>
  <c r="J30" i="1"/>
  <c r="J33" i="1"/>
  <c r="J20" i="1"/>
  <c r="J28" i="1"/>
  <c r="J32" i="1"/>
  <c r="J7" i="10"/>
  <c r="J8" i="10"/>
  <c r="J5" i="9"/>
  <c r="J8" i="9"/>
  <c r="J12" i="9"/>
  <c r="J11" i="8"/>
  <c r="J12" i="8"/>
  <c r="J20" i="8"/>
  <c r="J10" i="7"/>
  <c r="J13" i="7"/>
  <c r="J18" i="7"/>
  <c r="J17" i="7"/>
  <c r="J25" i="7"/>
  <c r="J29" i="7"/>
  <c r="J9" i="3"/>
  <c r="J13" i="3"/>
  <c r="J17" i="3"/>
  <c r="J25" i="3"/>
  <c r="J6" i="3"/>
  <c r="J7" i="3"/>
  <c r="J8" i="3"/>
  <c r="J14" i="3"/>
  <c r="J15" i="3"/>
  <c r="J16" i="3"/>
  <c r="J22" i="3"/>
  <c r="J23" i="3"/>
  <c r="J24" i="3"/>
  <c r="J5" i="2"/>
  <c r="J8" i="2"/>
  <c r="J9" i="2"/>
  <c r="J12" i="2"/>
  <c r="J13" i="2"/>
  <c r="J15" i="2"/>
  <c r="J16" i="2"/>
  <c r="J6" i="2"/>
  <c r="J14" i="2"/>
  <c r="J17" i="2"/>
  <c r="J5" i="1"/>
  <c r="J6" i="1"/>
  <c r="J13" i="1"/>
  <c r="J14" i="1"/>
  <c r="J7" i="1"/>
  <c r="J8" i="1"/>
  <c r="J12" i="1"/>
  <c r="J16" i="1"/>
  <c r="J24" i="1"/>
  <c r="J14" i="4"/>
  <c r="H11" i="10"/>
  <c r="H9" i="9"/>
  <c r="H17" i="9"/>
  <c r="H13" i="9"/>
  <c r="H14" i="8"/>
  <c r="H10" i="8"/>
  <c r="H9" i="8"/>
  <c r="H6" i="8"/>
  <c r="H22" i="8"/>
  <c r="H18" i="8"/>
  <c r="H17" i="8"/>
  <c r="H23" i="7"/>
  <c r="H30" i="7"/>
  <c r="H22" i="7"/>
  <c r="H14" i="7"/>
  <c r="H6" i="7"/>
  <c r="H33" i="7"/>
  <c r="H12" i="7"/>
  <c r="H31" i="7"/>
  <c r="H9" i="7"/>
  <c r="H15" i="7"/>
  <c r="H41" i="7"/>
  <c r="H35" i="7"/>
  <c r="H21" i="7"/>
  <c r="H5" i="7"/>
  <c r="H7" i="7"/>
  <c r="H20" i="7"/>
  <c r="H15" i="6"/>
  <c r="H22" i="6"/>
  <c r="H20" i="6"/>
  <c r="H31" i="6"/>
  <c r="H6" i="6"/>
  <c r="H12" i="6"/>
  <c r="H39" i="6"/>
  <c r="H14" i="6"/>
  <c r="H23" i="6"/>
  <c r="H30" i="6"/>
  <c r="H9" i="6"/>
  <c r="H7" i="6"/>
  <c r="H38" i="6"/>
  <c r="H25" i="6"/>
  <c r="H40" i="6"/>
  <c r="H32" i="6"/>
  <c r="H24" i="6"/>
  <c r="H16" i="6"/>
  <c r="H8" i="6"/>
  <c r="H37" i="6"/>
  <c r="H22" i="5"/>
  <c r="H14" i="5"/>
  <c r="H6" i="5"/>
  <c r="H11" i="4"/>
  <c r="H10" i="4"/>
  <c r="H12" i="4"/>
  <c r="H7" i="4"/>
  <c r="H6" i="4"/>
  <c r="I4" i="3"/>
  <c r="H5" i="3"/>
  <c r="I11" i="3"/>
  <c r="I19" i="3"/>
  <c r="I26" i="3"/>
  <c r="I12" i="3"/>
  <c r="I20" i="3"/>
  <c r="I28" i="3"/>
  <c r="I10" i="3"/>
  <c r="H8" i="4"/>
  <c r="H8" i="8"/>
  <c r="H32" i="7"/>
  <c r="H24" i="7"/>
  <c r="H16" i="7"/>
  <c r="H8" i="7"/>
  <c r="H15" i="9"/>
  <c r="H7" i="9"/>
  <c r="H5" i="10"/>
  <c r="H13" i="4"/>
  <c r="H5" i="4"/>
  <c r="H11" i="5"/>
  <c r="H33" i="6"/>
  <c r="H36" i="7"/>
  <c r="H28" i="7"/>
  <c r="H19" i="9"/>
  <c r="H11" i="9"/>
  <c r="H6" i="9"/>
  <c r="H10" i="10"/>
  <c r="H12" i="3"/>
  <c r="H9" i="4"/>
  <c r="H7" i="5"/>
  <c r="H29" i="6"/>
  <c r="H27" i="1"/>
  <c r="H10" i="1"/>
  <c r="H10" i="2"/>
  <c r="H23" i="1"/>
  <c r="H28" i="6"/>
  <c r="H19" i="8"/>
  <c r="H4" i="4"/>
  <c r="H16" i="8"/>
  <c r="H14" i="9"/>
  <c r="H19" i="1"/>
  <c r="H11" i="2"/>
  <c r="H17" i="6"/>
  <c r="H9" i="1"/>
  <c r="H31" i="1"/>
  <c r="H15" i="1"/>
  <c r="H18" i="1"/>
  <c r="H7" i="2"/>
  <c r="H28" i="3"/>
  <c r="H23" i="5"/>
  <c r="H6" i="10"/>
  <c r="H27" i="3"/>
  <c r="H19" i="3"/>
  <c r="H11" i="3"/>
  <c r="H21" i="5"/>
  <c r="H13" i="5"/>
  <c r="H5" i="5"/>
  <c r="H35" i="6"/>
  <c r="H27" i="6"/>
  <c r="H19" i="6"/>
  <c r="H11" i="6"/>
  <c r="H37" i="7"/>
  <c r="H27" i="7"/>
  <c r="H19" i="7"/>
  <c r="H11" i="7"/>
  <c r="H11" i="1"/>
  <c r="H26" i="3"/>
  <c r="H18" i="3"/>
  <c r="H28" i="5"/>
  <c r="H20" i="5"/>
  <c r="H12" i="5"/>
  <c r="H34" i="6"/>
  <c r="H26" i="6"/>
  <c r="H18" i="6"/>
  <c r="H10" i="6"/>
  <c r="H34" i="7"/>
  <c r="H26" i="7"/>
  <c r="H23" i="8"/>
  <c r="H15" i="8"/>
  <c r="H7" i="8"/>
  <c r="H9" i="10"/>
  <c r="H26" i="5"/>
  <c r="H18" i="5"/>
  <c r="H10" i="5"/>
  <c r="H21" i="8"/>
  <c r="H13" i="8"/>
  <c r="H5" i="8"/>
  <c r="H16" i="9"/>
  <c r="H25" i="5"/>
  <c r="H17" i="5"/>
  <c r="H9" i="5"/>
  <c r="H24" i="5"/>
  <c r="H16" i="5"/>
  <c r="H8" i="5"/>
  <c r="H4" i="10"/>
  <c r="H4" i="9"/>
  <c r="H4" i="8"/>
  <c r="H40" i="7"/>
  <c r="H39" i="7"/>
  <c r="H38" i="7"/>
  <c r="H4" i="7"/>
  <c r="H4" i="6"/>
  <c r="H4" i="5"/>
  <c r="H4" i="3"/>
  <c r="H4" i="2"/>
  <c r="O4" i="12"/>
  <c r="N4" i="12"/>
  <c r="M4" i="12"/>
  <c r="E4" i="12"/>
  <c r="F4" i="12"/>
  <c r="D4" i="12"/>
  <c r="I4" i="12" s="1"/>
  <c r="T5" i="1"/>
  <c r="W5" i="1" s="1"/>
  <c r="U5" i="1"/>
  <c r="V5" i="1"/>
  <c r="T6" i="1"/>
  <c r="U6" i="1"/>
  <c r="V6" i="1"/>
  <c r="T7" i="1"/>
  <c r="U7" i="1"/>
  <c r="V7" i="1"/>
  <c r="T8" i="1"/>
  <c r="U8" i="1"/>
  <c r="V8" i="1"/>
  <c r="X8" i="1" s="1"/>
  <c r="Z8" i="1" s="1"/>
  <c r="T9" i="1"/>
  <c r="U9" i="1"/>
  <c r="V9" i="1"/>
  <c r="T10" i="1"/>
  <c r="U10" i="1"/>
  <c r="V10" i="1"/>
  <c r="U4" i="1"/>
  <c r="V4" i="1"/>
  <c r="X9" i="1" l="1"/>
  <c r="Z9" i="1" s="1"/>
  <c r="J11" i="10"/>
  <c r="J9" i="9"/>
  <c r="J17" i="9"/>
  <c r="J13" i="9"/>
  <c r="J14" i="8"/>
  <c r="J10" i="8"/>
  <c r="J9" i="8"/>
  <c r="J6" i="8"/>
  <c r="J22" i="8"/>
  <c r="J18" i="8"/>
  <c r="J17" i="8"/>
  <c r="J23" i="7"/>
  <c r="J30" i="7"/>
  <c r="J22" i="7"/>
  <c r="J14" i="7"/>
  <c r="J6" i="7"/>
  <c r="J33" i="7"/>
  <c r="J12" i="7"/>
  <c r="J31" i="7"/>
  <c r="J9" i="7"/>
  <c r="J15" i="7"/>
  <c r="J41" i="7"/>
  <c r="J35" i="7"/>
  <c r="J21" i="7"/>
  <c r="J5" i="7"/>
  <c r="J7" i="7"/>
  <c r="J20" i="7"/>
  <c r="J5" i="3"/>
  <c r="J8" i="8"/>
  <c r="J32" i="7"/>
  <c r="J24" i="7"/>
  <c r="J16" i="7"/>
  <c r="J8" i="7"/>
  <c r="J15" i="9"/>
  <c r="J7" i="9"/>
  <c r="J5" i="10"/>
  <c r="J36" i="7"/>
  <c r="J28" i="7"/>
  <c r="J19" i="9"/>
  <c r="J11" i="9"/>
  <c r="J6" i="9"/>
  <c r="J10" i="10"/>
  <c r="J12" i="3"/>
  <c r="J27" i="1"/>
  <c r="J10" i="1"/>
  <c r="J10" i="2"/>
  <c r="J23" i="1"/>
  <c r="J19" i="8"/>
  <c r="J16" i="8"/>
  <c r="J14" i="9"/>
  <c r="J19" i="1"/>
  <c r="J11" i="2"/>
  <c r="J9" i="1"/>
  <c r="J31" i="1"/>
  <c r="J15" i="1"/>
  <c r="J18" i="1"/>
  <c r="J7" i="2"/>
  <c r="J28" i="3"/>
  <c r="J6" i="10"/>
  <c r="J27" i="3"/>
  <c r="J19" i="3"/>
  <c r="J11" i="3"/>
  <c r="J37" i="7"/>
  <c r="J27" i="7"/>
  <c r="J19" i="7"/>
  <c r="J11" i="7"/>
  <c r="J11" i="1"/>
  <c r="J26" i="3"/>
  <c r="J18" i="3"/>
  <c r="J34" i="7"/>
  <c r="J26" i="7"/>
  <c r="J23" i="8"/>
  <c r="J15" i="8"/>
  <c r="J7" i="8"/>
  <c r="J9" i="10"/>
  <c r="J21" i="8"/>
  <c r="J13" i="8"/>
  <c r="J5" i="8"/>
  <c r="J16" i="9"/>
  <c r="J4" i="10"/>
  <c r="J4" i="9"/>
  <c r="J4" i="8"/>
  <c r="J40" i="7"/>
  <c r="J39" i="7"/>
  <c r="J38" i="7"/>
  <c r="J4" i="7"/>
  <c r="J4" i="3"/>
  <c r="J4" i="2"/>
  <c r="J40" i="6"/>
  <c r="J39" i="6"/>
  <c r="J38" i="6"/>
  <c r="J37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0" i="6"/>
  <c r="J19" i="6"/>
  <c r="J18" i="6"/>
  <c r="J17" i="6"/>
  <c r="J16" i="6"/>
  <c r="J15" i="6"/>
  <c r="J14" i="6"/>
  <c r="J12" i="6"/>
  <c r="J11" i="6"/>
  <c r="J10" i="6"/>
  <c r="J9" i="6"/>
  <c r="J8" i="6"/>
  <c r="J7" i="6"/>
  <c r="J6" i="6"/>
  <c r="J28" i="5"/>
  <c r="J26" i="5"/>
  <c r="J25" i="5"/>
  <c r="J24" i="5"/>
  <c r="J23" i="5"/>
  <c r="J22" i="5"/>
  <c r="J21" i="5"/>
  <c r="J20" i="5"/>
  <c r="J18" i="5"/>
  <c r="J17" i="5"/>
  <c r="J16" i="5"/>
  <c r="J14" i="5"/>
  <c r="J13" i="5"/>
  <c r="J12" i="5"/>
  <c r="J11" i="5"/>
  <c r="J10" i="5"/>
  <c r="J9" i="5"/>
  <c r="J8" i="5"/>
  <c r="J7" i="5"/>
  <c r="J6" i="5"/>
  <c r="J5" i="5"/>
  <c r="J4" i="5"/>
  <c r="J13" i="4"/>
  <c r="J12" i="4"/>
  <c r="J11" i="4"/>
  <c r="J10" i="4"/>
  <c r="J9" i="4"/>
  <c r="J8" i="4"/>
  <c r="J7" i="4"/>
  <c r="J6" i="4"/>
  <c r="J5" i="4"/>
  <c r="J4" i="4"/>
  <c r="J4" i="6"/>
  <c r="W9" i="1"/>
  <c r="X5" i="1"/>
  <c r="Z5" i="1" s="1"/>
  <c r="H4" i="12"/>
  <c r="G4" i="12"/>
  <c r="H35" i="1"/>
  <c r="Y8" i="1"/>
  <c r="X6" i="1"/>
  <c r="Z6" i="1" s="1"/>
  <c r="W8" i="1"/>
  <c r="AA8" i="1" s="1"/>
  <c r="X10" i="1"/>
  <c r="Y7" i="1"/>
  <c r="W6" i="1"/>
  <c r="AA5" i="1"/>
  <c r="Y5" i="1"/>
  <c r="AB5" i="1" s="1"/>
  <c r="X7" i="1"/>
  <c r="Z7" i="1" s="1"/>
  <c r="Y6" i="1"/>
  <c r="W10" i="1"/>
  <c r="AA4" i="1"/>
  <c r="W7" i="1"/>
  <c r="Y10" i="1"/>
  <c r="Y9" i="1"/>
  <c r="AB4" i="1"/>
  <c r="AB6" i="1"/>
  <c r="AB8" i="1"/>
  <c r="AB9" i="1" l="1"/>
  <c r="AA9" i="1"/>
  <c r="AA7" i="1"/>
  <c r="AB7" i="1"/>
  <c r="AA6" i="1"/>
  <c r="AB10" i="1"/>
  <c r="Z10" i="1"/>
  <c r="AA10" i="1"/>
</calcChain>
</file>

<file path=xl/sharedStrings.xml><?xml version="1.0" encoding="utf-8"?>
<sst xmlns="http://purl.oclc.org/ooxml/spreadsheetml/main" count="899" uniqueCount="581">
  <si>
    <t>Gelb und Beige</t>
  </si>
  <si>
    <t>Nummer</t>
  </si>
  <si>
    <t>Name</t>
  </si>
  <si>
    <t>Farbmuster[3]</t>
  </si>
  <si>
    <t>CIE L*a*b*</t>
  </si>
  <si>
    <t>Beschreibung, Beispiele</t>
  </si>
  <si>
    <t>Grünbeige</t>
  </si>
  <si>
    <t>1932 bis 1939/1940: RAL 20 h[4]</t>
  </si>
  <si>
    <t>Beige</t>
  </si>
  <si>
    <t>1932 bis 1939/1940: RAL 20 m[4]</t>
  </si>
  <si>
    <t>Sandgelb</t>
  </si>
  <si>
    <t>1932 bis 1939/1940: RAL 15 h[4]</t>
  </si>
  <si>
    <t>Signalgelb</t>
  </si>
  <si>
    <r>
      <t>zusammen mit Signalrot Rohrleitungskennzeichnung für Gasleitungen, DIN 4844 Sicherheitskennzeichnung für Warnung, Vorsicht oder Hinweis, unter dieser Nummer war ursprünglich RAL 1023 gelistet.</t>
    </r>
    <r>
      <rPr>
        <vertAlign val="superscript"/>
        <sz val="11"/>
        <color theme="1"/>
        <rFont val="Calibri"/>
        <family val="2"/>
        <scheme val="minor"/>
      </rPr>
      <t>[5]</t>
    </r>
  </si>
  <si>
    <t>Goldgelb</t>
  </si>
  <si>
    <r>
      <t>Unternehmensfarbe der schweizerischen Post</t>
    </r>
    <r>
      <rPr>
        <vertAlign val="superscript"/>
        <sz val="11"/>
        <color theme="1"/>
        <rFont val="Calibri"/>
        <family val="2"/>
        <scheme val="minor"/>
      </rPr>
      <t>[6]</t>
    </r>
  </si>
  <si>
    <t>Honiggelb</t>
  </si>
  <si>
    <t>1932 bis 1939/1940: RAL 22 a[4]</t>
  </si>
  <si>
    <t>Maisgelb</t>
  </si>
  <si>
    <t>1932 bis 1939/1940: RAL 23[4]</t>
  </si>
  <si>
    <t>Narzissengelb</t>
  </si>
  <si>
    <t>Braunbeige</t>
  </si>
  <si>
    <t>Zitronengelb</t>
  </si>
  <si>
    <t>Perlweiß</t>
  </si>
  <si>
    <t>„Elektroweiß“, die ursprüngliche Standardfarbe für Elektroinstallation (Lichtschalter, Steckdosen, Kabelkanäle)</t>
  </si>
  <si>
    <t>Elfenbein</t>
  </si>
  <si>
    <t>Farbe vieler Fahrzeuge im Katastrophenschutz</t>
  </si>
  <si>
    <t>Hellelfenbein</t>
  </si>
  <si>
    <t>in Westdeutschland seit 1971 für Taxis vorgeschrieben, in einigen Bundesländern wieder aufgehoben</t>
  </si>
  <si>
    <t>Schwefelgelb</t>
  </si>
  <si>
    <t>Eurogelb, teilweise Farbe von Rettungsdienstfahrzeugen</t>
  </si>
  <si>
    <t>Safrangelb</t>
  </si>
  <si>
    <t>Zinkgelb</t>
  </si>
  <si>
    <t>Graubeige</t>
  </si>
  <si>
    <t>Olivgelb</t>
  </si>
  <si>
    <t>Rapsgelb</t>
  </si>
  <si>
    <t>vormals „Cadmiumgelb“, Farbe der Österreichischen Post, der Deutschen Bundespost 1972–1980, Fahrzeuge des ADAC, bis 2007 Kennzeichnungsfarbe für Gasleitungen</t>
  </si>
  <si>
    <t>Verkehrsgelb</t>
  </si>
  <si>
    <t>Farbe war bei ihrer Einführung 1939/1940 unter der Nummer 1003 gelistet[5]</t>
  </si>
  <si>
    <t>Ockergelb</t>
  </si>
  <si>
    <t>Leuchtgelb</t>
  </si>
  <si>
    <t>Currygelb</t>
  </si>
  <si>
    <t>Melonengelb</t>
  </si>
  <si>
    <r>
      <t>Unternehmensfarbe der Lufthansa seit 1979, „Gold“ der Flaggen Deutschlands auf dem Reichstagsgebäude</t>
    </r>
    <r>
      <rPr>
        <vertAlign val="superscript"/>
        <sz val="11"/>
        <color theme="1"/>
        <rFont val="Calibri"/>
        <family val="2"/>
        <scheme val="minor"/>
      </rPr>
      <t>[8]</t>
    </r>
  </si>
  <si>
    <t>Ginstergelb</t>
  </si>
  <si>
    <t>Farbe der Deutschen Bundespost seit 1980, ab 1998 der Deutschen Post AG</t>
  </si>
  <si>
    <t>Dahliengelb</t>
  </si>
  <si>
    <t>Pastellgelb</t>
  </si>
  <si>
    <t>Perlbeige</t>
  </si>
  <si>
    <t>Perlgold</t>
  </si>
  <si>
    <t>Sonnengelb</t>
  </si>
  <si>
    <t>Orange</t>
  </si>
  <si>
    <t>Gelborange</t>
  </si>
  <si>
    <t>1932 bis 1939/1940: RAL 25[4]</t>
  </si>
  <si>
    <t>Rotorange</t>
  </si>
  <si>
    <t>1932 bis 1939/1940: RAL 6[4]</t>
  </si>
  <si>
    <t>Blutorange</t>
  </si>
  <si>
    <t>Pastellorange</t>
  </si>
  <si>
    <t>Warnfarbe für Hochvoltleitungen in Elektroautos</t>
  </si>
  <si>
    <t>Reinorange</t>
  </si>
  <si>
    <t>Leuchtorange</t>
  </si>
  <si>
    <t>Leuchthellorange</t>
  </si>
  <si>
    <t>Hellrotorange</t>
  </si>
  <si>
    <t>Verkehrsorange</t>
  </si>
  <si>
    <t>Signalorange</t>
  </si>
  <si>
    <t>Tieforange</t>
  </si>
  <si>
    <r>
      <t xml:space="preserve">Straßenbetriebsfahrzeuge (Straßen-/Autobahnmeisterei) in Deutschland (umgangssprachlich </t>
    </r>
    <r>
      <rPr>
        <i/>
        <sz val="11"/>
        <color theme="1"/>
        <rFont val="Calibri"/>
        <family val="2"/>
        <scheme val="minor"/>
      </rPr>
      <t>Kommunalorange</t>
    </r>
    <r>
      <rPr>
        <sz val="11"/>
        <color theme="1"/>
        <rFont val="Calibri"/>
        <family val="2"/>
        <scheme val="minor"/>
      </rPr>
      <t>)</t>
    </r>
  </si>
  <si>
    <t>Lachsorange</t>
  </si>
  <si>
    <t>Perlorange</t>
  </si>
  <si>
    <t>2020 wurde dieser Farbton aufgenommen, er definiert den RAL Hausfarbton[9]</t>
  </si>
  <si>
    <t>Rot</t>
  </si>
  <si>
    <t>Feuerrot</t>
  </si>
  <si>
    <t>Farbe von Feuerwehrfahrzeugen in diversen deutschen Bundesländern</t>
  </si>
  <si>
    <t>Signalrot</t>
  </si>
  <si>
    <t>Verbotszeichen (DIN 5381), Brandschutzzeichen (DIN 5381)</t>
  </si>
  <si>
    <t>Karminrot</t>
  </si>
  <si>
    <t>Rubinrot</t>
  </si>
  <si>
    <r>
      <t>Wegweisungssignale für Velo-, MTB- und FäG-Wege Schweiz</t>
    </r>
    <r>
      <rPr>
        <vertAlign val="superscript"/>
        <sz val="11"/>
        <color theme="1"/>
        <rFont val="Calibri"/>
        <family val="2"/>
        <scheme val="minor"/>
      </rPr>
      <t>[7]</t>
    </r>
  </si>
  <si>
    <t>Purpurrot</t>
  </si>
  <si>
    <t>1932 bis 1939/1940: RAL 47[4]</t>
  </si>
  <si>
    <t>Weinrot</t>
  </si>
  <si>
    <t>1932 bis 1939/1940: RAL 10[4]</t>
  </si>
  <si>
    <t>Schwarzrot</t>
  </si>
  <si>
    <t>1932 bis 1939/1940: RAL 40[4]</t>
  </si>
  <si>
    <t>Oxidrot</t>
  </si>
  <si>
    <t>Braunrot</t>
  </si>
  <si>
    <t>Beigerot</t>
  </si>
  <si>
    <t>Tomatenrot</t>
  </si>
  <si>
    <t>Altrosa</t>
  </si>
  <si>
    <t>Hellrosa</t>
  </si>
  <si>
    <t>Korallenrot</t>
  </si>
  <si>
    <t>Rosé</t>
  </si>
  <si>
    <t>Erdbeerrot</t>
  </si>
  <si>
    <t>Verkehrsrot</t>
  </si>
  <si>
    <t>Verkehrsschilder, Veterinärwesen, Lokomotiven der Österreichischen Bundesbahnen (ÖBB), ab 1996 Lokomotiven und Wagen der Deutschen Bahn AG, Rot der Flagge Deutschlands, Farbe von Feuerwehrfahrzeugen (nach DIN 14502-3:2015-12)</t>
  </si>
  <si>
    <t>Lachsrot</t>
  </si>
  <si>
    <t>Leuchtrot</t>
  </si>
  <si>
    <t>Farbe vieler Feuerwehr- und Rettungsfahrzeuge, Signallackierung von Seenotkreuzern und -rettungsbooten der DGzRS</t>
  </si>
  <si>
    <t>Leuchthellrot</t>
  </si>
  <si>
    <t>Farbe vieler Feuerwehr- und Rettungsfahrzeuge</t>
  </si>
  <si>
    <t>Himbeerrot</t>
  </si>
  <si>
    <t>Reinrot</t>
  </si>
  <si>
    <t>in der Schifffahrt zur Verkehrssicherung (Schifffahrtszeichen)</t>
  </si>
  <si>
    <t>Orientrot</t>
  </si>
  <si>
    <t>Hauptfarbe der Lokomotiven (von 1987 bis 1996) der Deutschen Bundesbahn</t>
  </si>
  <si>
    <t>Perlrubinrot</t>
  </si>
  <si>
    <t>Perlrosa</t>
  </si>
  <si>
    <t>Violett</t>
  </si>
  <si>
    <t>Rotlila</t>
  </si>
  <si>
    <t>Rotviolett</t>
  </si>
  <si>
    <t>Erikaviolett</t>
  </si>
  <si>
    <t>Bordeauxviolett</t>
  </si>
  <si>
    <r>
      <t>Farbe des Einbands des Reisepasses eines EU-Mitgliedstaates</t>
    </r>
    <r>
      <rPr>
        <vertAlign val="superscript"/>
        <sz val="11"/>
        <color theme="1"/>
        <rFont val="Calibri"/>
        <family val="2"/>
        <scheme val="minor"/>
      </rPr>
      <t>[10]</t>
    </r>
  </si>
  <si>
    <t>Blaulila</t>
  </si>
  <si>
    <t>Verkehrspurpur</t>
  </si>
  <si>
    <t>Purpurviolett</t>
  </si>
  <si>
    <t>Signalviolett</t>
  </si>
  <si>
    <t>Pastellviolett</t>
  </si>
  <si>
    <t>Telemagenta</t>
  </si>
  <si>
    <t>Farbe der Deutschen Telekom</t>
  </si>
  <si>
    <t>Perlviolett</t>
  </si>
  <si>
    <t>Perlbrombeer</t>
  </si>
  <si>
    <t>Blau</t>
  </si>
  <si>
    <t>Violettblau</t>
  </si>
  <si>
    <t>Grünblau</t>
  </si>
  <si>
    <t>1932 bis 1939/1940: RAL 32[4]</t>
  </si>
  <si>
    <t>Ultramarinblau</t>
  </si>
  <si>
    <r>
      <t>1932 bis 1939/1940: RAL 32 h,</t>
    </r>
    <r>
      <rPr>
        <vertAlign val="superscript"/>
        <sz val="11"/>
        <color theme="1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Signalfarbe für Hinweise Schutzp (DIN 4844), Technisches Hilfswerk</t>
    </r>
  </si>
  <si>
    <t>Saphirblau</t>
  </si>
  <si>
    <t>Farbe der Elektro- und Dieseltriebwagen der Österreichischen Bundesbahnen (ÖBB) bis etwa 1980 (gemeinsam mit RAL 1014 „Elfenbein“)</t>
  </si>
  <si>
    <t>Schwarzblau</t>
  </si>
  <si>
    <t>1932 bis 1939/1940: RAL 33,[4] Deutsche Polizei: Einsatzanzüge, Mattfarbe für Geräte und Ausrüstung</t>
  </si>
  <si>
    <t>Signalblau</t>
  </si>
  <si>
    <t>Gebotszeichen, Hinweiszeichen (DIN 5381)</t>
  </si>
  <si>
    <t>Brillantblau</t>
  </si>
  <si>
    <t>Graublau</t>
  </si>
  <si>
    <t>Azurblau</t>
  </si>
  <si>
    <t>Enzianblau</t>
  </si>
  <si>
    <t>Signalfarbe für (unterrichtendes) Gebot (DIN 4844), Firmenfarbe der Lufthansa 1955–1962</t>
  </si>
  <si>
    <t>Stahlblau</t>
  </si>
  <si>
    <t>Lokomotiven und Personenwagen der Deutschen Bundesbahn, Farbe vieler deutscher Polizeiuniformen, Mattfarbe für Helme</t>
  </si>
  <si>
    <t>Lichtblau</t>
  </si>
  <si>
    <t>Kobaltblau</t>
  </si>
  <si>
    <t>Lokomotiven und Personenwagen der Deutschen Bundesbahn</t>
  </si>
  <si>
    <t>Taubenblau</t>
  </si>
  <si>
    <t>Himmelblau</t>
  </si>
  <si>
    <r>
      <t>Alpinwanderwegsignalisation Schweiz</t>
    </r>
    <r>
      <rPr>
        <vertAlign val="superscript"/>
        <sz val="11"/>
        <color theme="1"/>
        <rFont val="Calibri"/>
        <family val="2"/>
        <scheme val="minor"/>
      </rPr>
      <t>[7]</t>
    </r>
  </si>
  <si>
    <t>Verkehrsblau</t>
  </si>
  <si>
    <t>deutsche Polizei: Fahrzeuglackierung mit Silber und Weiß</t>
  </si>
  <si>
    <t>Türkisblau</t>
  </si>
  <si>
    <t>Capriblau</t>
  </si>
  <si>
    <t>Ozeanblau</t>
  </si>
  <si>
    <t>Wasserblau</t>
  </si>
  <si>
    <t>Nachtblau</t>
  </si>
  <si>
    <t>Blau im Logo der Lufthansa</t>
  </si>
  <si>
    <t>Fernblau</t>
  </si>
  <si>
    <t>Pastellblau</t>
  </si>
  <si>
    <t>Perlenzian</t>
  </si>
  <si>
    <t>Perlnachtblau</t>
  </si>
  <si>
    <t>Grün</t>
  </si>
  <si>
    <t>Patinagrün</t>
  </si>
  <si>
    <t>Signalfarbe für Rettung, Gefahrlosigkeit (DIN 4844)</t>
  </si>
  <si>
    <t>Smaragdgrün</t>
  </si>
  <si>
    <t>Laubgrün</t>
  </si>
  <si>
    <r>
      <t>1932 bis 1939/1940: RAL 27,</t>
    </r>
    <r>
      <rPr>
        <vertAlign val="superscript"/>
        <sz val="11"/>
        <color theme="1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Signalfarbe für Erste Hilfe und Notausgang (DIN 4844)</t>
    </r>
  </si>
  <si>
    <t>Olivgrün</t>
  </si>
  <si>
    <r>
      <t>Fleckenfarbe für Kraftfahrzeuge und Geschütze des deutschen Heeres ab Februar 1943 (Grundfarbe Dunkelgelb), mit NVA-Farbton Chlorbunagrün SM (2425 TGL 21196) vergleichbar</t>
    </r>
    <r>
      <rPr>
        <vertAlign val="superscript"/>
        <sz val="11"/>
        <color theme="1"/>
        <rFont val="Calibri"/>
        <family val="2"/>
        <scheme val="minor"/>
      </rPr>
      <t>[11]</t>
    </r>
  </si>
  <si>
    <t>Blaugrün</t>
  </si>
  <si>
    <t>1932 bis 1939/1940: RAL 31[4]</t>
  </si>
  <si>
    <t>Moosgrün</t>
  </si>
  <si>
    <t>1932 bis 1939/1940: RAL 26,[4] Schriftfarbe für informierende Schilder</t>
  </si>
  <si>
    <t>Grauoliv</t>
  </si>
  <si>
    <t>1932 bis 1939/1940: RAL 3[4]</t>
  </si>
  <si>
    <t>Flaschengrün</t>
  </si>
  <si>
    <t>1932 bis 1939/1940: RAL 28,[4] ursprünglich eingeführt unter der Bezeichnung „Moosgrün“</t>
  </si>
  <si>
    <t>Braungrün</t>
  </si>
  <si>
    <t>Tannengrün</t>
  </si>
  <si>
    <t>1932 bis 1939/1940: RAL 30,[4] Farbe der deutschen Polizei bis 1975</t>
  </si>
  <si>
    <t>Grasgrün</t>
  </si>
  <si>
    <t>Resedagrün</t>
  </si>
  <si>
    <t>Grundanstrich vieler Maschinen (DIN 1844)</t>
  </si>
  <si>
    <t>Schwarzgrün</t>
  </si>
  <si>
    <t>bis 1994 für geschlossene Verbände des Bundesgrenzschutzes</t>
  </si>
  <si>
    <t>Schilfgrün</t>
  </si>
  <si>
    <t>Gelboliv</t>
  </si>
  <si>
    <r>
      <t>bis 1984 allgemein für Fahrzeuge und Geräte der deutschen Bundeswehr</t>
    </r>
    <r>
      <rPr>
        <vertAlign val="superscript"/>
        <sz val="11"/>
        <color theme="1"/>
        <rFont val="Calibri"/>
        <family val="2"/>
        <scheme val="minor"/>
      </rPr>
      <t>[12]</t>
    </r>
  </si>
  <si>
    <t>Schwarzoliv</t>
  </si>
  <si>
    <t>Türkisgrün</t>
  </si>
  <si>
    <t>Maigrün</t>
  </si>
  <si>
    <t>Wird verwendet von der Partei Bündnis 90/Die Grünen.</t>
  </si>
  <si>
    <t>Gelbgrün</t>
  </si>
  <si>
    <t>Weißgrün</t>
  </si>
  <si>
    <t>Chromoxidgrün</t>
  </si>
  <si>
    <t>Blassgrün</t>
  </si>
  <si>
    <t>Braunoliv</t>
  </si>
  <si>
    <t>Verkehrsgrün</t>
  </si>
  <si>
    <t>DIN 6171 Aufsichtfarben für Verkehrszeichen, Farbe der Grünen Tonne</t>
  </si>
  <si>
    <t>Farngrün</t>
  </si>
  <si>
    <t>Opalgrün</t>
  </si>
  <si>
    <t>Lichtgrün</t>
  </si>
  <si>
    <t>Kieferngrün</t>
  </si>
  <si>
    <t>Minzgrün</t>
  </si>
  <si>
    <t>Signalgrün</t>
  </si>
  <si>
    <t>Rettungszeichen (DIN 5381)</t>
  </si>
  <si>
    <t>Minttürkis</t>
  </si>
  <si>
    <t>Pastelltürkis</t>
  </si>
  <si>
    <t>Perlgrün</t>
  </si>
  <si>
    <t>Perlopalgrün</t>
  </si>
  <si>
    <t>Reingrün</t>
  </si>
  <si>
    <t>Verkehrssicherung in der Schifffahrt (Schifffahrtszeichen)</t>
  </si>
  <si>
    <t>Leuchtgrün</t>
  </si>
  <si>
    <t>Fasergrün</t>
  </si>
  <si>
    <t>Grau</t>
  </si>
  <si>
    <t>Fehgrau</t>
  </si>
  <si>
    <t>Überwasser-Tarnfarbe der Deutschen Marine</t>
  </si>
  <si>
    <t>Silbergrau</t>
  </si>
  <si>
    <t>Olivgrau</t>
  </si>
  <si>
    <t>1932 bis 1939/1940: RAL 1 m[4]</t>
  </si>
  <si>
    <t>Moosgrau</t>
  </si>
  <si>
    <t>1932 bis 1939/1940: RAL 1 r[4]</t>
  </si>
  <si>
    <t>Signalgrau</t>
  </si>
  <si>
    <t>Mausgrau</t>
  </si>
  <si>
    <t>Beigegrau</t>
  </si>
  <si>
    <t>Khakigrau</t>
  </si>
  <si>
    <t>ursprünglich „Graugrün“</t>
  </si>
  <si>
    <t>Grüngrau</t>
  </si>
  <si>
    <t>1932 bis 1939/1940: RAL 2[4]</t>
  </si>
  <si>
    <t>Zeltgrau</t>
  </si>
  <si>
    <t>Eisengrau</t>
  </si>
  <si>
    <t>Basaltgrau</t>
  </si>
  <si>
    <r>
      <t>Bundeswehruniform (Heeresjacke)</t>
    </r>
    <r>
      <rPr>
        <vertAlign val="superscript"/>
        <sz val="11"/>
        <color theme="1"/>
        <rFont val="Calibri"/>
        <family val="2"/>
        <scheme val="minor"/>
      </rPr>
      <t>[14]</t>
    </r>
  </si>
  <si>
    <t>Braungrau</t>
  </si>
  <si>
    <r>
      <t>Farbe des Österreichischen Bundesheers, Bundeswehr-Textilfarbe „steingrau-oliv“ (umgangssprachlich „NATO-Oliv“) ehemaliger Moleskin-Kampfanzug</t>
    </r>
    <r>
      <rPr>
        <vertAlign val="superscript"/>
        <sz val="11"/>
        <color theme="1"/>
        <rFont val="Calibri"/>
        <family val="2"/>
        <scheme val="minor"/>
      </rPr>
      <t>[15]</t>
    </r>
  </si>
  <si>
    <t>Schiefergrau</t>
  </si>
  <si>
    <t>Anthrazitgrau</t>
  </si>
  <si>
    <t>1932 bis 1939/1940: RAL 4,[4]</t>
  </si>
  <si>
    <t>Schwarzgrau</t>
  </si>
  <si>
    <t>1932 bis 1939/1940: RAL 46,[4]</t>
  </si>
  <si>
    <t>Umbragrau</t>
  </si>
  <si>
    <t>Betongrau</t>
  </si>
  <si>
    <t>Graphitgrau</t>
  </si>
  <si>
    <t>Granitgrau</t>
  </si>
  <si>
    <t>Steingrau</t>
  </si>
  <si>
    <t>Blaugrau</t>
  </si>
  <si>
    <t>Grundanstrich für Maschinen (DIN 1843)</t>
  </si>
  <si>
    <t>Kieselgrau</t>
  </si>
  <si>
    <t>Standardfarbe des Telefons FeTAp 611 der Deutschen Bundespost</t>
  </si>
  <si>
    <t>Zementgrau</t>
  </si>
  <si>
    <t>Gelbgrau</t>
  </si>
  <si>
    <t>Lichtgrau</t>
  </si>
  <si>
    <t>ICE und Fernverkehrswagen der Deutschen Bahn, klassische Schaltschrankfarbe</t>
  </si>
  <si>
    <t>Platingrau</t>
  </si>
  <si>
    <t>Staubgrau</t>
  </si>
  <si>
    <t>seit 1956 Waffenfarbe „Hellgrau“ der Heeresfliegertruppe</t>
  </si>
  <si>
    <t>Achatgrau</t>
  </si>
  <si>
    <t>Quarzgrau</t>
  </si>
  <si>
    <t>Fenstergrau</t>
  </si>
  <si>
    <t>Seidengrau</t>
  </si>
  <si>
    <t>1992 für die Deutsche Bundespost (Telekom)</t>
  </si>
  <si>
    <t>Perlmausgrau</t>
  </si>
  <si>
    <t>Braun</t>
  </si>
  <si>
    <t>Grünbraun</t>
  </si>
  <si>
    <t>1932 bis 1939/1940: RAL 16,[4]</t>
  </si>
  <si>
    <t>Ockerbraun</t>
  </si>
  <si>
    <t>Signalbraun</t>
  </si>
  <si>
    <t>1932 bis 1939/1940: RAL 17,[4] ursprünglich eingeführt unter der Bezeichnung „Erdgelb“</t>
  </si>
  <si>
    <t>Lehmbraun</t>
  </si>
  <si>
    <t>1932 bis 1939/1940: RAL 11[4]</t>
  </si>
  <si>
    <t>Kupferbraun</t>
  </si>
  <si>
    <t>Rehbraun</t>
  </si>
  <si>
    <t>Olivbraun</t>
  </si>
  <si>
    <t>Nussbraun</t>
  </si>
  <si>
    <t>Rotbraun</t>
  </si>
  <si>
    <t>1932 bis 1939/1940: RAL 13 a[4]</t>
  </si>
  <si>
    <t>Sepiabraun</t>
  </si>
  <si>
    <t>1932 bis 1939/1940: RAL 18 g[4]</t>
  </si>
  <si>
    <t>Kastanienbraun</t>
  </si>
  <si>
    <t>Mahagonibraun</t>
  </si>
  <si>
    <t>1932 bis 1939/1940: RAL 19,[4], militärische Bezeichnung bis 1945: Rotbraun</t>
  </si>
  <si>
    <t>Graubraun</t>
  </si>
  <si>
    <t>Schwarzbraun</t>
  </si>
  <si>
    <t>Orangebraun</t>
  </si>
  <si>
    <t>Beigebraun</t>
  </si>
  <si>
    <t>Blassbraun</t>
  </si>
  <si>
    <t>Terrabraun</t>
  </si>
  <si>
    <t>Perlkupfer</t>
  </si>
  <si>
    <t>Weiß und Schwarz</t>
  </si>
  <si>
    <t>Cremeweiß</t>
  </si>
  <si>
    <t>Grauweiß</t>
  </si>
  <si>
    <t>1932 bis 1939/1940: RAL 1,[4]</t>
  </si>
  <si>
    <t>Signalweiß</t>
  </si>
  <si>
    <t>Signalschwarz</t>
  </si>
  <si>
    <t>Tiefschwarz</t>
  </si>
  <si>
    <r>
      <t>1932 bis 1939/1940: RAL 5,</t>
    </r>
    <r>
      <rPr>
        <vertAlign val="superscript"/>
        <sz val="11"/>
        <color theme="1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Schwarz der Flagge Deutschlands</t>
    </r>
  </si>
  <si>
    <t>Weißaluminium</t>
  </si>
  <si>
    <r>
      <t>1932 bis 1939/1940: RAL 1 h,</t>
    </r>
    <r>
      <rPr>
        <vertAlign val="superscript"/>
        <sz val="11"/>
        <color theme="1"/>
        <rFont val="Calibri"/>
        <family val="2"/>
        <scheme val="minor"/>
      </rPr>
      <t>[4]</t>
    </r>
    <r>
      <rPr>
        <sz val="11"/>
        <color theme="1"/>
        <rFont val="Calibri"/>
        <family val="2"/>
        <scheme val="minor"/>
      </rPr>
      <t xml:space="preserve"> für Rostschutzprogramm der Deutschen Reichsbahn, wegen Farbabweichungen und Sonderlackierung nicht für dekorative Zwecke empfohlen</t>
    </r>
    <r>
      <rPr>
        <vertAlign val="superscript"/>
        <sz val="11"/>
        <color theme="1"/>
        <rFont val="Calibri"/>
        <family val="2"/>
        <scheme val="minor"/>
      </rPr>
      <t>[16]</t>
    </r>
  </si>
  <si>
    <t>Graualuminium</t>
  </si>
  <si>
    <t>für Rostschutzprogramm der Deutschen Reichsbahn, nicht für dekorative Zwecke empfohlen[16]</t>
  </si>
  <si>
    <t>Reinweiß</t>
  </si>
  <si>
    <t>Graphitschwarz</t>
  </si>
  <si>
    <t>Reinraumweiß</t>
  </si>
  <si>
    <t>2020 neu aufgenommen[17]</t>
  </si>
  <si>
    <t>Verkehrsweiß</t>
  </si>
  <si>
    <t>Verkehrsschwarz</t>
  </si>
  <si>
    <t>Papyrusweiß</t>
  </si>
  <si>
    <t>Perlhellgrau</t>
  </si>
  <si>
    <t>Perldunkelgrau</t>
  </si>
  <si>
    <t>vergleiche RAL 9016 Verkehrsweiß, ausgeführter (matterer) Farbton zu RAL 9010</t>
  </si>
  <si>
    <t>Tarnfarben der Bundeswehr (RAL F9)</t>
  </si>
  <si>
    <r>
      <t>Die gesondert geführte Sammlung RAL F9 enthält das 1984 eingeführte Dreifarb-Tarnsystem</t>
    </r>
    <r>
      <rPr>
        <vertAlign val="superscript"/>
        <sz val="11"/>
        <color theme="1"/>
        <rFont val="Calibri"/>
        <family val="2"/>
        <scheme val="minor"/>
      </rPr>
      <t>[18]</t>
    </r>
    <r>
      <rPr>
        <sz val="11"/>
        <color theme="1"/>
        <rFont val="Calibri"/>
        <family val="2"/>
        <scheme val="minor"/>
      </rPr>
      <t xml:space="preserve"> der Bundeswehr (Bronzegrün, Lederbraun, Teerschwarz). 2003 wurden zusätzlich die </t>
    </r>
    <r>
      <rPr>
        <i/>
        <sz val="11"/>
        <color theme="1"/>
        <rFont val="Calibri"/>
        <family val="2"/>
        <scheme val="minor"/>
      </rPr>
      <t>Umtarnfarben</t>
    </r>
    <r>
      <rPr>
        <sz val="11"/>
        <color theme="1"/>
        <rFont val="Calibri"/>
        <family val="2"/>
        <scheme val="minor"/>
      </rPr>
      <t xml:space="preserve"> zur Anpassung an Wüstenregionen eingeführt.</t>
    </r>
  </si>
  <si>
    <t>Bronzegrün</t>
  </si>
  <si>
    <t>Tarnfarbe für Gerät und Fahrzeuge der Bundeswehr, Grundfarbe des Flecktarnanstrichs</t>
  </si>
  <si>
    <t>Lederbraun</t>
  </si>
  <si>
    <t>Flecktarnlackierung bei Fahrzeugen der Bundeswehr</t>
  </si>
  <si>
    <t>Teerschwarz</t>
  </si>
  <si>
    <t>Flecktarnlackierung bei Fahrzeugen der Bundeswehr, wird auch als Infrarot-absorbierende Farbe verwendet (oftmals fälschlich als Infrarot-reflektierend bezeichnet)</t>
  </si>
  <si>
    <t>Sandbeige</t>
  </si>
  <si>
    <r>
      <t>Umtarnfarben</t>
    </r>
    <r>
      <rPr>
        <sz val="11"/>
        <color theme="1"/>
        <rFont val="Calibri"/>
        <family val="2"/>
        <scheme val="minor"/>
      </rPr>
      <t xml:space="preserve"> der Bundeswehr für Wüsten- und Steppenregionen (geringere Aufheizung der Fahrzeuge), Lack ist abwaschbar, aber nach 10–21 Tagen Trocknung wetterfest</t>
    </r>
  </si>
  <si>
    <t>Lehmbeige</t>
  </si>
  <si>
    <t>Helloliv</t>
  </si>
  <si>
    <t>Tarngrau</t>
  </si>
  <si>
    <t>Sandbraun</t>
  </si>
  <si>
    <t>ID</t>
  </si>
  <si>
    <t>R</t>
  </si>
  <si>
    <t>G</t>
  </si>
  <si>
    <t>B</t>
  </si>
  <si>
    <t>X</t>
  </si>
  <si>
    <t>Y</t>
  </si>
  <si>
    <t>Z</t>
  </si>
  <si>
    <t>L*</t>
  </si>
  <si>
    <t>a*</t>
  </si>
  <si>
    <t>b*</t>
  </si>
  <si>
    <t>Lichtart</t>
  </si>
  <si>
    <t>D50</t>
  </si>
  <si>
    <t>D65</t>
  </si>
  <si>
    <t>amerikanisch</t>
  </si>
  <si>
    <t>europäisch</t>
  </si>
  <si>
    <t>früher</t>
  </si>
  <si>
    <t>heute</t>
  </si>
  <si>
    <t>2°</t>
  </si>
  <si>
    <t>10°</t>
  </si>
  <si>
    <t>X_n</t>
  </si>
  <si>
    <t>Y_n</t>
  </si>
  <si>
    <t>Z_n</t>
  </si>
  <si>
    <t>1932 bis 1939/1940: RAL 27[4]Wanderwegsignalisation Schweiz[7]</t>
  </si>
  <si>
    <t>Fahrzeuge des ABC- und Fernmeldedienstes im erweiterten Katastrophenschutz in Deutschland, Notrufsäulen an Schweizer Autobahnen</t>
  </si>
  <si>
    <t>&amp;H88BACD</t>
  </si>
  <si>
    <t>&amp;H84B0D0</t>
  </si>
  <si>
    <t>&amp;H6DAAD2</t>
  </si>
  <si>
    <t>&amp;HA8F9</t>
  </si>
  <si>
    <t>&amp;H7B0E2</t>
  </si>
  <si>
    <t>&amp;H8ECB</t>
  </si>
  <si>
    <t>&amp;H90E2</t>
  </si>
  <si>
    <t>&amp;H8CE8</t>
  </si>
  <si>
    <t>&amp;H548AAF</t>
  </si>
  <si>
    <t>&amp;H22C0D9</t>
  </si>
  <si>
    <t>&amp;HC6D9E3</t>
  </si>
  <si>
    <t>&amp;H9AC4DD</t>
  </si>
  <si>
    <t>&amp;HB5D2E6</t>
  </si>
  <si>
    <t>&amp;H44F0EA</t>
  </si>
  <si>
    <t>&amp;H52B7F4</t>
  </si>
  <si>
    <t>&amp;H3BE0F3</t>
  </si>
  <si>
    <t>&amp;H7D95A4</t>
  </si>
  <si>
    <t>&amp;H64949A</t>
  </si>
  <si>
    <t>&amp;HB6F6</t>
  </si>
  <si>
    <t>&amp;HB5F7</t>
  </si>
  <si>
    <t>&amp;H509CB8</t>
  </si>
  <si>
    <t>&amp;HFFFF</t>
  </si>
  <si>
    <t>&amp;H158CA3</t>
  </si>
  <si>
    <t>&amp;H9BFF</t>
  </si>
  <si>
    <t>&amp;HA3E2</t>
  </si>
  <si>
    <t>&amp;H21ABFA</t>
  </si>
  <si>
    <t>&amp;H56ABED</t>
  </si>
  <si>
    <t>&amp;H8599A2</t>
  </si>
  <si>
    <t>&amp;H497592</t>
  </si>
  <si>
    <t>&amp;H5A2EE</t>
  </si>
  <si>
    <t>&amp;H6EDA</t>
  </si>
  <si>
    <t>&amp;H1B48BA</t>
  </si>
  <si>
    <t>&amp;H2739C6</t>
  </si>
  <si>
    <t>&amp;H2B84FA</t>
  </si>
  <si>
    <t>&amp;H125BE7</t>
  </si>
  <si>
    <t>&amp;H1249FF</t>
  </si>
  <si>
    <t>&amp;H21A4FF</t>
  </si>
  <si>
    <t>&amp;H216BED</t>
  </si>
  <si>
    <t>&amp;H155E1</t>
  </si>
  <si>
    <t>&amp;H2F65D4</t>
  </si>
  <si>
    <t>&amp;HE6EE2</t>
  </si>
  <si>
    <t>&amp;H506ADB</t>
  </si>
  <si>
    <t>&amp;H274595</t>
  </si>
  <si>
    <t>&amp;H244FA</t>
  </si>
  <si>
    <t>&amp;H2029A7</t>
  </si>
  <si>
    <t>&amp;H23249B</t>
  </si>
  <si>
    <t>&amp;H21239B</t>
  </si>
  <si>
    <t>&amp;H221A86</t>
  </si>
  <si>
    <t>&amp;H231C6B</t>
  </si>
  <si>
    <t>&amp;H1F1959</t>
  </si>
  <si>
    <t>&amp;H22203E</t>
  </si>
  <si>
    <t>&amp;H2C336D</t>
  </si>
  <si>
    <t>&amp;H2C297E</t>
  </si>
  <si>
    <t>&amp;H738DCB</t>
  </si>
  <si>
    <t>&amp;H2E329C</t>
  </si>
  <si>
    <t>&amp;H7974D4</t>
  </si>
  <si>
    <t>&amp;HA69FD7</t>
  </si>
  <si>
    <t>&amp;H3440AC</t>
  </si>
  <si>
    <t>&amp;H5F54D3</t>
  </si>
  <si>
    <t>&amp;H5241D1</t>
  </si>
  <si>
    <t>&amp;H101EBB</t>
  </si>
  <si>
    <t>&amp;H5568CC</t>
  </si>
  <si>
    <t>&amp;H212DFF</t>
  </si>
  <si>
    <t>&amp;HFF</t>
  </si>
  <si>
    <t>&amp;H4120B4</t>
  </si>
  <si>
    <t>&amp;H242CCC</t>
  </si>
  <si>
    <t>&amp;H3734A6</t>
  </si>
  <si>
    <t>&amp;H211571</t>
  </si>
  <si>
    <t>&amp;H434CB2</t>
  </si>
  <si>
    <t>&amp;H835A8A</t>
  </si>
  <si>
    <t>&amp;H503D93</t>
  </si>
  <si>
    <t>&amp;H8C5FC4</t>
  </si>
  <si>
    <t>&amp;H391669</t>
  </si>
  <si>
    <t>&amp;H9D6383</t>
  </si>
  <si>
    <t>&amp;H722599</t>
  </si>
  <si>
    <t>&amp;H3B204A</t>
  </si>
  <si>
    <t>&amp;H844D88</t>
  </si>
  <si>
    <t>&amp;H9589A3</t>
  </si>
  <si>
    <t>&amp;H7836C6</t>
  </si>
  <si>
    <t>&amp;HA17387</t>
  </si>
  <si>
    <t>&amp;H80686B</t>
  </si>
  <si>
    <t>&amp;H6F4E38</t>
  </si>
  <si>
    <t>&amp;H644C0F</t>
  </si>
  <si>
    <t>&amp;H7B3800</t>
  </si>
  <si>
    <t>&amp;H56372A</t>
  </si>
  <si>
    <t>&amp;H281E19</t>
  </si>
  <si>
    <t>&amp;H875300</t>
  </si>
  <si>
    <t>&amp;H8D6741</t>
  </si>
  <si>
    <t>&amp;H483C31</t>
  </si>
  <si>
    <t>&amp;H78592E</t>
  </si>
  <si>
    <t>&amp;H7C4F00</t>
  </si>
  <si>
    <t>&amp;H3C2B1A</t>
  </si>
  <si>
    <t>&amp;HB88134</t>
  </si>
  <si>
    <t>&amp;H533119</t>
  </si>
  <si>
    <t>&amp;H987C6C</t>
  </si>
  <si>
    <t>&amp;HB27428</t>
  </si>
  <si>
    <t>&amp;H8C5A00</t>
  </si>
  <si>
    <t>&amp;H8F8821</t>
  </si>
  <si>
    <t>&amp;H84571A</t>
  </si>
  <si>
    <t>&amp;H51410B</t>
  </si>
  <si>
    <t>&amp;H7A7307</t>
  </si>
  <si>
    <t>&amp;H5A2D22</t>
  </si>
  <si>
    <t>&amp;H8E664D</t>
  </si>
  <si>
    <t>&amp;HB0936A</t>
  </si>
  <si>
    <t>&amp;H786429</t>
  </si>
  <si>
    <t>&amp;H542C10</t>
  </si>
  <si>
    <t>&amp;H60743C</t>
  </si>
  <si>
    <t>&amp;H356736</t>
  </si>
  <si>
    <t>&amp;H285932</t>
  </si>
  <si>
    <t>&amp;H3C5350</t>
  </si>
  <si>
    <t>&amp;H424402</t>
  </si>
  <si>
    <t>&amp;H324211</t>
  </si>
  <si>
    <t>&amp;H2E393C</t>
  </si>
  <si>
    <t>&amp;H22322C</t>
  </si>
  <si>
    <t>&amp;H2A3437</t>
  </si>
  <si>
    <t>&amp;H2A3527</t>
  </si>
  <si>
    <t>&amp;H396F4D</t>
  </si>
  <si>
    <t>&amp;H597C6C</t>
  </si>
  <si>
    <t>&amp;H3A3D30</t>
  </si>
  <si>
    <t>&amp;H5A767D</t>
  </si>
  <si>
    <t>&amp;H354147</t>
  </si>
  <si>
    <t>&amp;H363D3D</t>
  </si>
  <si>
    <t>&amp;H4C6900</t>
  </si>
  <si>
    <t>&amp;H407F58</t>
  </si>
  <si>
    <t>&amp;H3B9961</t>
  </si>
  <si>
    <t>&amp;HACCEB9</t>
  </si>
  <si>
    <t>&amp;H2F4237</t>
  </si>
  <si>
    <t>&amp;H77998A</t>
  </si>
  <si>
    <t>&amp;H27333A</t>
  </si>
  <si>
    <t>&amp;H518300</t>
  </si>
  <si>
    <t>&amp;H3B6E5E</t>
  </si>
  <si>
    <t>&amp;H4E5F00</t>
  </si>
  <si>
    <t>&amp;HB5BA7E</t>
  </si>
  <si>
    <t>&amp;H425431</t>
  </si>
  <si>
    <t>&amp;H3D6F00</t>
  </si>
  <si>
    <t>&amp;H8E887A</t>
  </si>
  <si>
    <t>&amp;H9F998F</t>
  </si>
  <si>
    <t>&amp;H637881</t>
  </si>
  <si>
    <t>&amp;H69767A</t>
  </si>
  <si>
    <t>&amp;H9B9B9B</t>
  </si>
  <si>
    <t>&amp;H6F716B</t>
  </si>
  <si>
    <t>&amp;H616F75</t>
  </si>
  <si>
    <t>&amp;H3D5E74</t>
  </si>
  <si>
    <t>&amp;H58605D</t>
  </si>
  <si>
    <t>&amp;H565C58</t>
  </si>
  <si>
    <t>&amp;H615D55</t>
  </si>
  <si>
    <t>&amp;H5E5D57</t>
  </si>
  <si>
    <t>&amp;H445057</t>
  </si>
  <si>
    <t>&amp;H5C5651</t>
  </si>
  <si>
    <t>&amp;H423E38</t>
  </si>
  <si>
    <t>&amp;H34322F</t>
  </si>
  <si>
    <t>&amp;H464D4B</t>
  </si>
  <si>
    <t>&amp;H798481</t>
  </si>
  <si>
    <t>&amp;H504A47</t>
  </si>
  <si>
    <t>&amp;H444237</t>
  </si>
  <si>
    <t>&amp;H889393</t>
  </si>
  <si>
    <t>&amp;H6D685B</t>
  </si>
  <si>
    <t>&amp;HA1B0B5</t>
  </si>
  <si>
    <t>&amp;H798981</t>
  </si>
  <si>
    <t>&amp;H6F8891</t>
  </si>
  <si>
    <t>&amp;HCCD0CB</t>
  </si>
  <si>
    <t>&amp;H97969A</t>
  </si>
  <si>
    <t>&amp;H7A7B7A</t>
  </si>
  <si>
    <t>&amp;HB0B8B4</t>
  </si>
  <si>
    <t>&amp;H5E686B</t>
  </si>
  <si>
    <t>&amp;HA6A39D</t>
  </si>
  <si>
    <t>&amp;H95968F</t>
  </si>
  <si>
    <t>&amp;H51544E</t>
  </si>
  <si>
    <t>&amp;HB2BDBD</t>
  </si>
  <si>
    <t>&amp;H94918D</t>
  </si>
  <si>
    <t>&amp;H8E8982</t>
  </si>
  <si>
    <t>&amp;HCFD0CF</t>
  </si>
  <si>
    <t>&amp;H758188</t>
  </si>
  <si>
    <t>&amp;H3E6989</t>
  </si>
  <si>
    <t>&amp;H2D6299</t>
  </si>
  <si>
    <t>&amp;H3E4D79</t>
  </si>
  <si>
    <t>&amp;H264B7E</t>
  </si>
  <si>
    <t>&amp;H354E8F</t>
  </si>
  <si>
    <t>&amp;H2F4A6F</t>
  </si>
  <si>
    <t>&amp;H234A6E</t>
  </si>
  <si>
    <t>&amp;H293A5A</t>
  </si>
  <si>
    <t>&amp;H2B3366</t>
  </si>
  <si>
    <t>&amp;H26354A</t>
  </si>
  <si>
    <t>&amp;H343A63</t>
  </si>
  <si>
    <t>&amp;H1F2A49</t>
  </si>
  <si>
    <t>&amp;H292F44</t>
  </si>
  <si>
    <t>&amp;H3A3A3F</t>
  </si>
  <si>
    <t>&amp;H201F21</t>
  </si>
  <si>
    <t>&amp;H2F5EA6</t>
  </si>
  <si>
    <t>&amp;H385076</t>
  </si>
  <si>
    <t>&amp;H495C75</t>
  </si>
  <si>
    <t>&amp;H2B3B4E</t>
  </si>
  <si>
    <t>&amp;H273C77</t>
  </si>
  <si>
    <t>&amp;HD2E0E9</t>
  </si>
  <si>
    <t>&amp;HCBD5D7</t>
  </si>
  <si>
    <t>&amp;HF4F8F4</t>
  </si>
  <si>
    <t>&amp;H32302E</t>
  </si>
  <si>
    <t>&amp;H100E0E</t>
  </si>
  <si>
    <t>&amp;HA0A1A1</t>
  </si>
  <si>
    <t>&amp;H838687</t>
  </si>
  <si>
    <t>&amp;HEFF9F7</t>
  </si>
  <si>
    <t>&amp;H2F2C29</t>
  </si>
  <si>
    <t>&amp;HE6FDFF</t>
  </si>
  <si>
    <t>&amp;HF5FBF7</t>
  </si>
  <si>
    <t>&amp;H2F2D2A</t>
  </si>
  <si>
    <t>&amp;HC3CAC7</t>
  </si>
  <si>
    <t>&amp;H9C9C9C</t>
  </si>
  <si>
    <t>&amp;H82817E</t>
  </si>
  <si>
    <t>&amp;HFDFDFD</t>
  </si>
  <si>
    <t>&amp;H465748</t>
  </si>
  <si>
    <t>&amp;H384950</t>
  </si>
  <si>
    <t>&amp;HE0501</t>
  </si>
  <si>
    <t>&amp;H9EC1CE</t>
  </si>
  <si>
    <t>&amp;H81ACBB</t>
  </si>
  <si>
    <t>&amp;H587E82</t>
  </si>
  <si>
    <t>&amp;H7A8882</t>
  </si>
  <si>
    <t>&amp;H7B9DB4</t>
  </si>
  <si>
    <t>Bundesgrenzschutz für Verbände (von 1994 bis 2005) und Einzeldienst (seit Gründung), viele Polizeien der deutschen Länder Notausgang-Signale auf Schweizer Autobahnen[13]</t>
  </si>
  <si>
    <t>&amp;H527F23</t>
  </si>
  <si>
    <t>&amp;H7F8746</t>
  </si>
  <si>
    <t>&amp;HACAC7A</t>
  </si>
  <si>
    <t>&amp;H254D19</t>
  </si>
  <si>
    <t>&amp;H4B5704</t>
  </si>
  <si>
    <t>&amp;H298B00</t>
  </si>
  <si>
    <t>&amp;H1AB500</t>
  </si>
  <si>
    <t>&amp;H3FC5B3</t>
  </si>
  <si>
    <t>SeidenmattWeiß</t>
  </si>
  <si>
    <t>RALOrange</t>
  </si>
  <si>
    <t>=</t>
  </si>
  <si>
    <t>VerkehrsgrauA</t>
  </si>
  <si>
    <t>VerkehrsgrauB</t>
  </si>
  <si>
    <t>Telegrau1</t>
  </si>
  <si>
    <t>Telegrau2</t>
  </si>
  <si>
    <t>Telegrau4</t>
  </si>
  <si>
    <t>Schokoladenbraun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</si>
</sst>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27">
    <fill>
      <patternFill patternType="none"/>
    </fill>
    <fill>
      <patternFill patternType="gray125"/>
    </fill>
    <fill>
      <patternFill patternType="solid">
        <fgColor rgb="FFCDBA88"/>
        <bgColor indexed="64"/>
      </patternFill>
    </fill>
    <fill>
      <patternFill patternType="solid">
        <fgColor rgb="FFD0B084"/>
        <bgColor indexed="64"/>
      </patternFill>
    </fill>
    <fill>
      <patternFill patternType="solid">
        <fgColor rgb="FFD2AA6D"/>
        <bgColor indexed="64"/>
      </patternFill>
    </fill>
    <fill>
      <patternFill patternType="solid">
        <fgColor rgb="FFF9A800"/>
        <bgColor indexed="64"/>
      </patternFill>
    </fill>
    <fill>
      <patternFill patternType="solid">
        <fgColor rgb="FFE2B007"/>
        <bgColor indexed="64"/>
      </patternFill>
    </fill>
    <fill>
      <patternFill patternType="solid">
        <fgColor rgb="FFCB8E00"/>
        <bgColor indexed="64"/>
      </patternFill>
    </fill>
    <fill>
      <patternFill patternType="solid">
        <fgColor rgb="FFE29000"/>
        <bgColor indexed="64"/>
      </patternFill>
    </fill>
    <fill>
      <patternFill patternType="solid">
        <fgColor rgb="FFE88C00"/>
        <bgColor indexed="64"/>
      </patternFill>
    </fill>
    <fill>
      <patternFill patternType="solid">
        <fgColor rgb="FFAF8A54"/>
        <bgColor indexed="64"/>
      </patternFill>
    </fill>
    <fill>
      <patternFill patternType="solid">
        <fgColor rgb="FFD9C022"/>
        <bgColor indexed="64"/>
      </patternFill>
    </fill>
    <fill>
      <patternFill patternType="solid">
        <fgColor rgb="FFE3D9C6"/>
        <bgColor indexed="64"/>
      </patternFill>
    </fill>
    <fill>
      <patternFill patternType="solid">
        <fgColor rgb="FFDDC49A"/>
        <bgColor indexed="64"/>
      </patternFill>
    </fill>
    <fill>
      <patternFill patternType="solid">
        <fgColor rgb="FFE6D2B5"/>
        <bgColor indexed="64"/>
      </patternFill>
    </fill>
    <fill>
      <patternFill patternType="solid">
        <fgColor rgb="FFEAF044"/>
        <bgColor indexed="64"/>
      </patternFill>
    </fill>
    <fill>
      <patternFill patternType="solid">
        <fgColor rgb="FFF4B752"/>
        <bgColor indexed="64"/>
      </patternFill>
    </fill>
    <fill>
      <patternFill patternType="solid">
        <fgColor rgb="FFF3E03B"/>
        <bgColor indexed="64"/>
      </patternFill>
    </fill>
    <fill>
      <patternFill patternType="solid">
        <fgColor rgb="FFA4957D"/>
        <bgColor indexed="64"/>
      </patternFill>
    </fill>
    <fill>
      <patternFill patternType="solid">
        <fgColor rgb="FF9A9464"/>
        <bgColor indexed="64"/>
      </patternFill>
    </fill>
    <fill>
      <patternFill patternType="solid">
        <fgColor rgb="FFF6B600"/>
        <bgColor indexed="64"/>
      </patternFill>
    </fill>
    <fill>
      <patternFill patternType="solid">
        <fgColor rgb="FFF7B500"/>
        <bgColor indexed="64"/>
      </patternFill>
    </fill>
    <fill>
      <patternFill patternType="solid">
        <fgColor rgb="FFB89C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8C15"/>
        <bgColor indexed="64"/>
      </patternFill>
    </fill>
    <fill>
      <patternFill patternType="solid">
        <fgColor rgb="FFFF9B00"/>
        <bgColor indexed="64"/>
      </patternFill>
    </fill>
    <fill>
      <patternFill patternType="solid">
        <fgColor rgb="FFE2A300"/>
        <bgColor indexed="64"/>
      </patternFill>
    </fill>
    <fill>
      <patternFill patternType="solid">
        <fgColor rgb="FFFAAB21"/>
        <bgColor indexed="64"/>
      </patternFill>
    </fill>
    <fill>
      <patternFill patternType="solid">
        <fgColor rgb="FFEDAB56"/>
        <bgColor indexed="64"/>
      </patternFill>
    </fill>
    <fill>
      <patternFill patternType="solid">
        <fgColor rgb="FFA29985"/>
        <bgColor indexed="64"/>
      </patternFill>
    </fill>
    <fill>
      <patternFill patternType="solid">
        <fgColor rgb="FF927549"/>
        <bgColor indexed="64"/>
      </patternFill>
    </fill>
    <fill>
      <patternFill patternType="solid">
        <fgColor rgb="FFEEA205"/>
        <bgColor indexed="64"/>
      </patternFill>
    </fill>
    <fill>
      <patternFill patternType="solid">
        <fgColor rgb="FFDA6E00"/>
        <bgColor indexed="64"/>
      </patternFill>
    </fill>
    <fill>
      <patternFill patternType="solid">
        <fgColor rgb="FFBA481B"/>
        <bgColor indexed="64"/>
      </patternFill>
    </fill>
    <fill>
      <patternFill patternType="solid">
        <fgColor rgb="FFC63927"/>
        <bgColor indexed="64"/>
      </patternFill>
    </fill>
    <fill>
      <patternFill patternType="solid">
        <fgColor rgb="FFFA842B"/>
        <bgColor indexed="64"/>
      </patternFill>
    </fill>
    <fill>
      <patternFill patternType="solid">
        <fgColor rgb="FFE75B12"/>
        <bgColor indexed="64"/>
      </patternFill>
    </fill>
    <fill>
      <patternFill patternType="solid">
        <fgColor rgb="FFFF4912"/>
        <bgColor indexed="64"/>
      </patternFill>
    </fill>
    <fill>
      <patternFill patternType="solid">
        <fgColor rgb="FFFFA421"/>
        <bgColor indexed="64"/>
      </patternFill>
    </fill>
    <fill>
      <patternFill patternType="solid">
        <fgColor rgb="FFED6B21"/>
        <bgColor indexed="64"/>
      </patternFill>
    </fill>
    <fill>
      <patternFill patternType="solid">
        <fgColor rgb="FFE15501"/>
        <bgColor indexed="64"/>
      </patternFill>
    </fill>
    <fill>
      <patternFill patternType="solid">
        <fgColor rgb="FFD4652F"/>
        <bgColor indexed="64"/>
      </patternFill>
    </fill>
    <fill>
      <patternFill patternType="solid">
        <fgColor rgb="FFE26E0E"/>
        <bgColor indexed="64"/>
      </patternFill>
    </fill>
    <fill>
      <patternFill patternType="solid">
        <fgColor rgb="FFDB6A50"/>
        <bgColor indexed="64"/>
      </patternFill>
    </fill>
    <fill>
      <patternFill patternType="solid">
        <fgColor rgb="FF954527"/>
        <bgColor indexed="64"/>
      </patternFill>
    </fill>
    <fill>
      <patternFill patternType="solid">
        <fgColor rgb="FFFA4402"/>
        <bgColor indexed="64"/>
      </patternFill>
    </fill>
    <fill>
      <patternFill patternType="solid">
        <fgColor rgb="FFA72920"/>
        <bgColor indexed="64"/>
      </patternFill>
    </fill>
    <fill>
      <patternFill patternType="solid">
        <fgColor rgb="FF9B2423"/>
        <bgColor indexed="64"/>
      </patternFill>
    </fill>
    <fill>
      <patternFill patternType="solid">
        <fgColor rgb="FF9B2321"/>
        <bgColor indexed="64"/>
      </patternFill>
    </fill>
    <fill>
      <patternFill patternType="solid">
        <fgColor rgb="FF861A22"/>
        <bgColor indexed="64"/>
      </patternFill>
    </fill>
    <fill>
      <patternFill patternType="solid">
        <fgColor rgb="FF6B1C23"/>
        <bgColor indexed="64"/>
      </patternFill>
    </fill>
    <fill>
      <patternFill patternType="solid">
        <fgColor rgb="FF59191F"/>
        <bgColor indexed="64"/>
      </patternFill>
    </fill>
    <fill>
      <patternFill patternType="solid">
        <fgColor rgb="FF3E2022"/>
        <bgColor indexed="64"/>
      </patternFill>
    </fill>
    <fill>
      <patternFill patternType="solid">
        <fgColor rgb="FF6D332C"/>
        <bgColor indexed="64"/>
      </patternFill>
    </fill>
    <fill>
      <patternFill patternType="solid">
        <fgColor rgb="FF7E292C"/>
        <bgColor indexed="64"/>
      </patternFill>
    </fill>
    <fill>
      <patternFill patternType="solid">
        <fgColor rgb="FFCB8D73"/>
        <bgColor indexed="64"/>
      </patternFill>
    </fill>
    <fill>
      <patternFill patternType="solid">
        <fgColor rgb="FF9C322E"/>
        <bgColor indexed="64"/>
      </patternFill>
    </fill>
    <fill>
      <patternFill patternType="solid">
        <fgColor rgb="FFD47479"/>
        <bgColor indexed="64"/>
      </patternFill>
    </fill>
    <fill>
      <patternFill patternType="solid">
        <fgColor rgb="FFD79FA6"/>
        <bgColor indexed="64"/>
      </patternFill>
    </fill>
    <fill>
      <patternFill patternType="solid">
        <fgColor rgb="FFAC4034"/>
        <bgColor indexed="64"/>
      </patternFill>
    </fill>
    <fill>
      <patternFill patternType="solid">
        <fgColor rgb="FFD3545F"/>
        <bgColor indexed="64"/>
      </patternFill>
    </fill>
    <fill>
      <patternFill patternType="solid">
        <fgColor rgb="FFD14152"/>
        <bgColor indexed="64"/>
      </patternFill>
    </fill>
    <fill>
      <patternFill patternType="solid">
        <fgColor rgb="FFBB1E10"/>
        <bgColor indexed="64"/>
      </patternFill>
    </fill>
    <fill>
      <patternFill patternType="solid">
        <fgColor rgb="FFCC6855"/>
        <bgColor indexed="64"/>
      </patternFill>
    </fill>
    <fill>
      <patternFill patternType="solid">
        <fgColor rgb="FFFF2D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42041"/>
        <bgColor indexed="64"/>
      </patternFill>
    </fill>
    <fill>
      <patternFill patternType="solid">
        <fgColor rgb="FFCC2C24"/>
        <bgColor indexed="64"/>
      </patternFill>
    </fill>
    <fill>
      <patternFill patternType="solid">
        <fgColor rgb="FFA63437"/>
        <bgColor indexed="64"/>
      </patternFill>
    </fill>
    <fill>
      <patternFill patternType="solid">
        <fgColor rgb="FF711521"/>
        <bgColor indexed="64"/>
      </patternFill>
    </fill>
    <fill>
      <patternFill patternType="solid">
        <fgColor rgb="FFB24C43"/>
        <bgColor indexed="64"/>
      </patternFill>
    </fill>
    <fill>
      <patternFill patternType="solid">
        <fgColor rgb="FF8A5A83"/>
        <bgColor indexed="64"/>
      </patternFill>
    </fill>
    <fill>
      <patternFill patternType="solid">
        <fgColor rgb="FF933D50"/>
        <bgColor indexed="64"/>
      </patternFill>
    </fill>
    <fill>
      <patternFill patternType="solid">
        <fgColor rgb="FFC45F8C"/>
        <bgColor indexed="64"/>
      </patternFill>
    </fill>
    <fill>
      <patternFill patternType="solid">
        <fgColor rgb="FF691639"/>
        <bgColor indexed="64"/>
      </patternFill>
    </fill>
    <fill>
      <patternFill patternType="solid">
        <fgColor rgb="FF83639D"/>
        <bgColor indexed="64"/>
      </patternFill>
    </fill>
    <fill>
      <patternFill patternType="solid">
        <fgColor rgb="FF992572"/>
        <bgColor indexed="64"/>
      </patternFill>
    </fill>
    <fill>
      <patternFill patternType="solid">
        <fgColor rgb="FF4A203B"/>
        <bgColor indexed="64"/>
      </patternFill>
    </fill>
    <fill>
      <patternFill patternType="solid">
        <fgColor rgb="FF884D84"/>
        <bgColor indexed="64"/>
      </patternFill>
    </fill>
    <fill>
      <patternFill patternType="solid">
        <fgColor rgb="FFA38995"/>
        <bgColor indexed="64"/>
      </patternFill>
    </fill>
    <fill>
      <patternFill patternType="solid">
        <fgColor rgb="FFC63678"/>
        <bgColor indexed="64"/>
      </patternFill>
    </fill>
    <fill>
      <patternFill patternType="solid">
        <fgColor rgb="FF8773A1"/>
        <bgColor indexed="64"/>
      </patternFill>
    </fill>
    <fill>
      <patternFill patternType="solid">
        <fgColor rgb="FF6B6880"/>
        <bgColor indexed="64"/>
      </patternFill>
    </fill>
    <fill>
      <patternFill patternType="solid">
        <fgColor rgb="FF384E6F"/>
        <bgColor indexed="64"/>
      </patternFill>
    </fill>
    <fill>
      <patternFill patternType="solid">
        <fgColor rgb="FF0F4C64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FF2A3756"/>
        <bgColor indexed="64"/>
      </patternFill>
    </fill>
    <fill>
      <patternFill patternType="solid">
        <fgColor rgb="FF191E28"/>
        <bgColor indexed="64"/>
      </patternFill>
    </fill>
    <fill>
      <patternFill patternType="solid">
        <fgColor rgb="FF005387"/>
        <bgColor indexed="64"/>
      </patternFill>
    </fill>
    <fill>
      <patternFill patternType="solid">
        <fgColor rgb="FF41678D"/>
        <bgColor indexed="64"/>
      </patternFill>
    </fill>
    <fill>
      <patternFill patternType="solid">
        <fgColor rgb="FF313C48"/>
        <bgColor indexed="64"/>
      </patternFill>
    </fill>
    <fill>
      <patternFill patternType="solid">
        <fgColor rgb="FF2E5978"/>
        <bgColor indexed="64"/>
      </patternFill>
    </fill>
    <fill>
      <patternFill patternType="solid">
        <fgColor rgb="FF004F7C"/>
        <bgColor indexed="64"/>
      </patternFill>
    </fill>
    <fill>
      <patternFill patternType="solid">
        <fgColor rgb="FF1A2B3C"/>
        <bgColor indexed="64"/>
      </patternFill>
    </fill>
    <fill>
      <patternFill patternType="solid">
        <fgColor rgb="FF3481B8"/>
        <bgColor indexed="64"/>
      </patternFill>
    </fill>
    <fill>
      <patternFill patternType="solid">
        <fgColor rgb="FF193153"/>
        <bgColor indexed="64"/>
      </patternFill>
    </fill>
    <fill>
      <patternFill patternType="solid">
        <fgColor rgb="FF6C7C98"/>
        <bgColor indexed="64"/>
      </patternFill>
    </fill>
    <fill>
      <patternFill patternType="solid">
        <fgColor rgb="FF2874B2"/>
        <bgColor indexed="64"/>
      </patternFill>
    </fill>
    <fill>
      <patternFill patternType="solid">
        <fgColor rgb="FF005A8C"/>
        <bgColor indexed="64"/>
      </patternFill>
    </fill>
    <fill>
      <patternFill patternType="solid">
        <fgColor rgb="FF21888F"/>
        <bgColor indexed="64"/>
      </patternFill>
    </fill>
    <fill>
      <patternFill patternType="solid">
        <fgColor rgb="FF1A5784"/>
        <bgColor indexed="64"/>
      </patternFill>
    </fill>
    <fill>
      <patternFill patternType="solid">
        <fgColor rgb="FF0B4151"/>
        <bgColor indexed="64"/>
      </patternFill>
    </fill>
    <fill>
      <patternFill patternType="solid">
        <fgColor rgb="FF07737A"/>
        <bgColor indexed="64"/>
      </patternFill>
    </fill>
    <fill>
      <patternFill patternType="solid">
        <fgColor rgb="FF222D5A"/>
        <bgColor indexed="64"/>
      </patternFill>
    </fill>
    <fill>
      <patternFill patternType="solid">
        <fgColor rgb="FF4D668E"/>
        <bgColor indexed="64"/>
      </patternFill>
    </fill>
    <fill>
      <patternFill patternType="solid">
        <fgColor rgb="FF6A93B0"/>
        <bgColor indexed="64"/>
      </patternFill>
    </fill>
    <fill>
      <patternFill patternType="solid">
        <fgColor rgb="FF296478"/>
        <bgColor indexed="64"/>
      </patternFill>
    </fill>
    <fill>
      <patternFill patternType="solid">
        <fgColor rgb="FF102C54"/>
        <bgColor indexed="64"/>
      </patternFill>
    </fill>
    <fill>
      <patternFill patternType="solid">
        <fgColor rgb="FF3C7460"/>
        <bgColor indexed="64"/>
      </patternFill>
    </fill>
    <fill>
      <patternFill patternType="solid">
        <fgColor rgb="FF366735"/>
        <bgColor indexed="64"/>
      </patternFill>
    </fill>
    <fill>
      <patternFill patternType="solid">
        <fgColor rgb="FF325928"/>
        <bgColor indexed="64"/>
      </patternFill>
    </fill>
    <fill>
      <patternFill patternType="solid">
        <fgColor rgb="FF50533C"/>
        <bgColor indexed="64"/>
      </patternFill>
    </fill>
    <fill>
      <patternFill patternType="solid">
        <fgColor rgb="FF024442"/>
        <bgColor indexed="64"/>
      </patternFill>
    </fill>
    <fill>
      <patternFill patternType="solid">
        <fgColor rgb="FF114232"/>
        <bgColor indexed="64"/>
      </patternFill>
    </fill>
    <fill>
      <patternFill patternType="solid">
        <fgColor rgb="FF3C392E"/>
        <bgColor indexed="64"/>
      </patternFill>
    </fill>
    <fill>
      <patternFill patternType="solid">
        <fgColor rgb="FF2C3222"/>
        <bgColor indexed="64"/>
      </patternFill>
    </fill>
    <fill>
      <patternFill patternType="solid">
        <fgColor rgb="FF37342A"/>
        <bgColor indexed="64"/>
      </patternFill>
    </fill>
    <fill>
      <patternFill patternType="solid">
        <fgColor rgb="FF27352A"/>
        <bgColor indexed="64"/>
      </patternFill>
    </fill>
    <fill>
      <patternFill patternType="solid">
        <fgColor rgb="FF4D6F39"/>
        <bgColor indexed="64"/>
      </patternFill>
    </fill>
    <fill>
      <patternFill patternType="solid">
        <fgColor rgb="FF6C7C59"/>
        <bgColor indexed="64"/>
      </patternFill>
    </fill>
    <fill>
      <patternFill patternType="solid">
        <fgColor rgb="FF303D3A"/>
        <bgColor indexed="64"/>
      </patternFill>
    </fill>
    <fill>
      <patternFill patternType="solid">
        <fgColor rgb="FF7D765A"/>
        <bgColor indexed="64"/>
      </patternFill>
    </fill>
    <fill>
      <patternFill patternType="solid">
        <fgColor rgb="FF474135"/>
        <bgColor indexed="64"/>
      </patternFill>
    </fill>
    <fill>
      <patternFill patternType="solid">
        <fgColor rgb="FF3D3D36"/>
        <bgColor indexed="64"/>
      </patternFill>
    </fill>
    <fill>
      <patternFill patternType="solid">
        <fgColor rgb="FF00694C"/>
        <bgColor indexed="64"/>
      </patternFill>
    </fill>
    <fill>
      <patternFill patternType="solid">
        <fgColor rgb="FF587F40"/>
        <bgColor indexed="64"/>
      </patternFill>
    </fill>
    <fill>
      <patternFill patternType="solid">
        <fgColor rgb="FF61993B"/>
        <bgColor indexed="64"/>
      </patternFill>
    </fill>
    <fill>
      <patternFill patternType="solid">
        <fgColor rgb="FFB9CEAC"/>
        <bgColor indexed="64"/>
      </patternFill>
    </fill>
    <fill>
      <patternFill patternType="solid">
        <fgColor rgb="FF37422F"/>
        <bgColor indexed="64"/>
      </patternFill>
    </fill>
    <fill>
      <patternFill patternType="solid">
        <fgColor rgb="FF8A9977"/>
        <bgColor indexed="64"/>
      </patternFill>
    </fill>
    <fill>
      <patternFill patternType="solid">
        <fgColor rgb="FF3A3327"/>
        <bgColor indexed="64"/>
      </patternFill>
    </fill>
    <fill>
      <patternFill patternType="solid">
        <fgColor rgb="FF008351"/>
        <bgColor indexed="64"/>
      </patternFill>
    </fill>
    <fill>
      <patternFill patternType="solid">
        <fgColor rgb="FF5E6E3B"/>
        <bgColor indexed="64"/>
      </patternFill>
    </fill>
    <fill>
      <patternFill patternType="solid">
        <fgColor rgb="FF005F4E"/>
        <bgColor indexed="64"/>
      </patternFill>
    </fill>
    <fill>
      <patternFill patternType="solid">
        <fgColor rgb="FF7EBAB5"/>
        <bgColor indexed="64"/>
      </patternFill>
    </fill>
    <fill>
      <patternFill patternType="solid">
        <fgColor rgb="FF315442"/>
        <bgColor indexed="64"/>
      </patternFill>
    </fill>
    <fill>
      <patternFill patternType="solid">
        <fgColor rgb="FF006F3D"/>
        <bgColor indexed="64"/>
      </patternFill>
    </fill>
    <fill>
      <patternFill patternType="solid">
        <fgColor rgb="FF237F52"/>
        <bgColor indexed="64"/>
      </patternFill>
    </fill>
    <fill>
      <patternFill patternType="solid">
        <fgColor rgb="FF46877F"/>
        <bgColor indexed="64"/>
      </patternFill>
    </fill>
    <fill>
      <patternFill patternType="solid">
        <fgColor rgb="FF7AACAC"/>
        <bgColor indexed="64"/>
      </patternFill>
    </fill>
    <fill>
      <patternFill patternType="solid">
        <fgColor rgb="FF194D25"/>
        <bgColor indexed="64"/>
      </patternFill>
    </fill>
    <fill>
      <patternFill patternType="solid">
        <fgColor rgb="FF04574B"/>
        <bgColor indexed="64"/>
      </patternFill>
    </fill>
    <fill>
      <patternFill patternType="solid">
        <fgColor rgb="FF008B29"/>
        <bgColor indexed="64"/>
      </patternFill>
    </fill>
    <fill>
      <patternFill patternType="solid">
        <fgColor rgb="FF00B51A"/>
        <bgColor indexed="64"/>
      </patternFill>
    </fill>
    <fill>
      <patternFill patternType="solid">
        <fgColor rgb="FFB3C53F"/>
        <bgColor indexed="64"/>
      </patternFill>
    </fill>
    <fill>
      <patternFill patternType="solid">
        <fgColor rgb="FF7A888E"/>
        <bgColor indexed="64"/>
      </patternFill>
    </fill>
    <fill>
      <patternFill patternType="solid">
        <fgColor rgb="FF8F999F"/>
        <bgColor indexed="64"/>
      </patternFill>
    </fill>
    <fill>
      <patternFill patternType="solid">
        <fgColor rgb="FF817863"/>
        <bgColor indexed="64"/>
      </patternFill>
    </fill>
    <fill>
      <patternFill patternType="solid">
        <fgColor rgb="FF7A7669"/>
        <bgColor indexed="64"/>
      </patternFill>
    </fill>
    <fill>
      <patternFill patternType="solid">
        <fgColor rgb="FF9B9B9B"/>
        <bgColor indexed="64"/>
      </patternFill>
    </fill>
    <fill>
      <patternFill patternType="solid">
        <fgColor rgb="FF6B716F"/>
        <bgColor indexed="64"/>
      </patternFill>
    </fill>
    <fill>
      <patternFill patternType="solid">
        <fgColor rgb="FF756F61"/>
        <bgColor indexed="64"/>
      </patternFill>
    </fill>
    <fill>
      <patternFill patternType="solid">
        <fgColor rgb="FF745E3D"/>
        <bgColor indexed="64"/>
      </patternFill>
    </fill>
    <fill>
      <patternFill patternType="solid">
        <fgColor rgb="FF5D6058"/>
        <bgColor indexed="64"/>
      </patternFill>
    </fill>
    <fill>
      <patternFill patternType="solid">
        <fgColor rgb="FF585C56"/>
        <bgColor indexed="64"/>
      </patternFill>
    </fill>
    <fill>
      <patternFill patternType="solid">
        <fgColor rgb="FF555D61"/>
        <bgColor indexed="64"/>
      </patternFill>
    </fill>
    <fill>
      <patternFill patternType="solid">
        <fgColor rgb="FF575D5E"/>
        <bgColor indexed="64"/>
      </patternFill>
    </fill>
    <fill>
      <patternFill patternType="solid">
        <fgColor rgb="FF575044"/>
        <bgColor indexed="64"/>
      </patternFill>
    </fill>
    <fill>
      <patternFill patternType="solid">
        <fgColor rgb="FF51565C"/>
        <bgColor indexed="64"/>
      </patternFill>
    </fill>
    <fill>
      <patternFill patternType="solid">
        <fgColor rgb="FF383E42"/>
        <bgColor indexed="64"/>
      </patternFill>
    </fill>
    <fill>
      <patternFill patternType="solid">
        <fgColor rgb="FF2F3234"/>
        <bgColor indexed="64"/>
      </patternFill>
    </fill>
    <fill>
      <patternFill patternType="solid">
        <fgColor rgb="FF4B4D46"/>
        <bgColor indexed="64"/>
      </patternFill>
    </fill>
    <fill>
      <patternFill patternType="solid">
        <fgColor rgb="FF818479"/>
        <bgColor indexed="64"/>
      </patternFill>
    </fill>
    <fill>
      <patternFill patternType="solid">
        <fgColor rgb="FF474A50"/>
        <bgColor indexed="64"/>
      </patternFill>
    </fill>
    <fill>
      <patternFill patternType="solid">
        <fgColor rgb="FF374244"/>
        <bgColor indexed="64"/>
      </patternFill>
    </fill>
    <fill>
      <patternFill patternType="solid">
        <fgColor rgb="FF939388"/>
        <bgColor indexed="64"/>
      </patternFill>
    </fill>
    <fill>
      <patternFill patternType="solid">
        <fgColor rgb="FF5B686D"/>
        <bgColor indexed="64"/>
      </patternFill>
    </fill>
    <fill>
      <patternFill patternType="solid">
        <fgColor rgb="FFB5B0A1"/>
        <bgColor indexed="64"/>
      </patternFill>
    </fill>
    <fill>
      <patternFill patternType="solid">
        <fgColor rgb="FF818979"/>
        <bgColor indexed="64"/>
      </patternFill>
    </fill>
    <fill>
      <patternFill patternType="solid">
        <fgColor rgb="FF91886F"/>
        <bgColor indexed="64"/>
      </patternFill>
    </fill>
    <fill>
      <patternFill patternType="solid">
        <fgColor rgb="FFCBD0CC"/>
        <bgColor indexed="64"/>
      </patternFill>
    </fill>
    <fill>
      <patternFill patternType="solid">
        <fgColor rgb="FF9A9697"/>
        <bgColor indexed="64"/>
      </patternFill>
    </fill>
    <fill>
      <patternFill patternType="solid">
        <fgColor rgb="FF7A7B7A"/>
        <bgColor indexed="64"/>
      </patternFill>
    </fill>
    <fill>
      <patternFill patternType="solid">
        <fgColor rgb="FFB4B8B0"/>
        <bgColor indexed="64"/>
      </patternFill>
    </fill>
    <fill>
      <patternFill patternType="solid">
        <fgColor rgb="FF6B685E"/>
        <bgColor indexed="64"/>
      </patternFill>
    </fill>
    <fill>
      <patternFill patternType="solid">
        <fgColor rgb="FF9DA3A6"/>
        <bgColor indexed="64"/>
      </patternFill>
    </fill>
    <fill>
      <patternFill patternType="solid">
        <fgColor rgb="FF8F9695"/>
        <bgColor indexed="64"/>
      </patternFill>
    </fill>
    <fill>
      <patternFill patternType="solid">
        <fgColor rgb="FF4E5451"/>
        <bgColor indexed="64"/>
      </patternFill>
    </fill>
    <fill>
      <patternFill patternType="solid">
        <fgColor rgb="FFBDBDB2"/>
        <bgColor indexed="64"/>
      </patternFill>
    </fill>
    <fill>
      <patternFill patternType="solid">
        <fgColor rgb="FF8D9194"/>
        <bgColor indexed="64"/>
      </patternFill>
    </fill>
    <fill>
      <patternFill patternType="solid">
        <fgColor rgb="FF82898E"/>
        <bgColor indexed="64"/>
      </patternFill>
    </fill>
    <fill>
      <patternFill patternType="solid">
        <fgColor rgb="FFCFD0CF"/>
        <bgColor indexed="64"/>
      </patternFill>
    </fill>
    <fill>
      <patternFill patternType="solid">
        <fgColor rgb="FF888175"/>
        <bgColor indexed="64"/>
      </patternFill>
    </fill>
    <fill>
      <patternFill patternType="solid">
        <fgColor rgb="FF89693E"/>
        <bgColor indexed="64"/>
      </patternFill>
    </fill>
    <fill>
      <patternFill patternType="solid">
        <fgColor rgb="FF99622D"/>
        <bgColor indexed="64"/>
      </patternFill>
    </fill>
    <fill>
      <patternFill patternType="solid">
        <fgColor rgb="FF794D3E"/>
        <bgColor indexed="64"/>
      </patternFill>
    </fill>
    <fill>
      <patternFill patternType="solid">
        <fgColor rgb="FF7E4B26"/>
        <bgColor indexed="64"/>
      </patternFill>
    </fill>
    <fill>
      <patternFill patternType="solid">
        <fgColor rgb="FF8F4E35"/>
        <bgColor indexed="64"/>
      </patternFill>
    </fill>
    <fill>
      <patternFill patternType="solid">
        <fgColor rgb="FF6F4A2F"/>
        <bgColor indexed="64"/>
      </patternFill>
    </fill>
    <fill>
      <patternFill patternType="solid">
        <fgColor rgb="FF6E4A23"/>
        <bgColor indexed="64"/>
      </patternFill>
    </fill>
    <fill>
      <patternFill patternType="solid">
        <fgColor rgb="FF5A3A29"/>
        <bgColor indexed="64"/>
      </patternFill>
    </fill>
    <fill>
      <patternFill patternType="solid">
        <fgColor rgb="FF66332B"/>
        <bgColor indexed="64"/>
      </patternFill>
    </fill>
    <fill>
      <patternFill patternType="solid">
        <fgColor rgb="FF4A3526"/>
        <bgColor indexed="64"/>
      </patternFill>
    </fill>
    <fill>
      <patternFill patternType="solid">
        <fgColor rgb="FF633A34"/>
        <bgColor indexed="64"/>
      </patternFill>
    </fill>
    <fill>
      <patternFill patternType="solid">
        <fgColor rgb="FF492A1F"/>
        <bgColor indexed="64"/>
      </patternFill>
    </fill>
    <fill>
      <patternFill patternType="solid">
        <fgColor rgb="FF442F29"/>
        <bgColor indexed="64"/>
      </patternFill>
    </fill>
    <fill>
      <patternFill patternType="solid">
        <fgColor rgb="FF3F3A3A"/>
        <bgColor indexed="64"/>
      </patternFill>
    </fill>
    <fill>
      <patternFill patternType="solid">
        <fgColor rgb="FF211F20"/>
        <bgColor indexed="64"/>
      </patternFill>
    </fill>
    <fill>
      <patternFill patternType="solid">
        <fgColor rgb="FFA65E2F"/>
        <bgColor indexed="64"/>
      </patternFill>
    </fill>
    <fill>
      <patternFill patternType="solid">
        <fgColor rgb="FF765038"/>
        <bgColor indexed="64"/>
      </patternFill>
    </fill>
    <fill>
      <patternFill patternType="solid">
        <fgColor rgb="FF755C49"/>
        <bgColor indexed="64"/>
      </patternFill>
    </fill>
    <fill>
      <patternFill patternType="solid">
        <fgColor rgb="FF4E3B2B"/>
        <bgColor indexed="64"/>
      </patternFill>
    </fill>
    <fill>
      <patternFill patternType="solid">
        <fgColor rgb="FF773C27"/>
        <bgColor indexed="64"/>
      </patternFill>
    </fill>
    <fill>
      <patternFill patternType="solid">
        <fgColor rgb="FFE9E0D2"/>
        <bgColor indexed="64"/>
      </patternFill>
    </fill>
    <fill>
      <patternFill patternType="solid">
        <fgColor rgb="FFD7D5CB"/>
        <bgColor indexed="64"/>
      </patternFill>
    </fill>
    <fill>
      <patternFill patternType="solid">
        <fgColor rgb="FFF4F8F4"/>
        <bgColor indexed="64"/>
      </patternFill>
    </fill>
    <fill>
      <patternFill patternType="solid">
        <fgColor rgb="FF2E3032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A1A1A0"/>
        <bgColor indexed="64"/>
      </patternFill>
    </fill>
    <fill>
      <patternFill patternType="solid">
        <fgColor rgb="FF878683"/>
        <bgColor indexed="64"/>
      </patternFill>
    </fill>
    <fill>
      <patternFill patternType="solid">
        <fgColor rgb="FFF7F9EF"/>
        <bgColor indexed="64"/>
      </patternFill>
    </fill>
    <fill>
      <patternFill patternType="solid">
        <fgColor rgb="FF292C2F"/>
        <bgColor indexed="64"/>
      </patternFill>
    </fill>
    <fill>
      <patternFill patternType="solid">
        <fgColor rgb="FFFFFDE6"/>
        <bgColor indexed="64"/>
      </patternFill>
    </fill>
    <fill>
      <patternFill patternType="solid">
        <fgColor rgb="FFF7FBF5"/>
        <bgColor indexed="64"/>
      </patternFill>
    </fill>
    <fill>
      <patternFill patternType="solid">
        <fgColor rgb="FF2A2D2F"/>
        <bgColor indexed="64"/>
      </patternFill>
    </fill>
    <fill>
      <patternFill patternType="solid">
        <fgColor rgb="FFC7CAC3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rgb="FF7E8182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485746"/>
        <bgColor indexed="64"/>
      </patternFill>
    </fill>
    <fill>
      <patternFill patternType="solid">
        <fgColor rgb="FF504938"/>
        <bgColor indexed="64"/>
      </patternFill>
    </fill>
    <fill>
      <patternFill patternType="solid">
        <fgColor rgb="FF01050E"/>
        <bgColor indexed="64"/>
      </patternFill>
    </fill>
    <fill>
      <patternFill patternType="solid">
        <fgColor rgb="FFCEC19E"/>
        <bgColor indexed="64"/>
      </patternFill>
    </fill>
    <fill>
      <patternFill patternType="solid">
        <fgColor rgb="FFBBAC81"/>
        <bgColor indexed="64"/>
      </patternFill>
    </fill>
    <fill>
      <patternFill patternType="solid">
        <fgColor rgb="FF827E58"/>
        <bgColor indexed="64"/>
      </patternFill>
    </fill>
    <fill>
      <patternFill patternType="solid">
        <fgColor rgb="FF82887A"/>
        <bgColor indexed="64"/>
      </patternFill>
    </fill>
    <fill>
      <patternFill patternType="solid">
        <fgColor rgb="FFB49D7B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3" borderId="0" xfId="0" applyFill="1" applyAlignment="1">
      <alignment horizontal="center" vertical="center" wrapText="1"/>
    </xf>
    <xf numFmtId="0" fontId="0" fillId="24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7" borderId="0" xfId="0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0" fillId="29" borderId="0" xfId="0" applyFill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0" fillId="31" borderId="0" xfId="0" applyFill="1" applyAlignment="1">
      <alignment horizontal="center" vertical="center" wrapText="1"/>
    </xf>
    <xf numFmtId="0" fontId="0" fillId="32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7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0" fillId="39" borderId="0" xfId="0" applyFill="1" applyAlignment="1">
      <alignment horizontal="center" vertical="center" wrapText="1"/>
    </xf>
    <xf numFmtId="0" fontId="0" fillId="40" borderId="0" xfId="0" applyFill="1" applyAlignment="1">
      <alignment horizontal="center" vertical="center" wrapText="1"/>
    </xf>
    <xf numFmtId="0" fontId="0" fillId="41" borderId="0" xfId="0" applyFill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0" fillId="43" borderId="0" xfId="0" applyFill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6" borderId="0" xfId="0" applyFill="1" applyAlignment="1">
      <alignment horizontal="center" vertical="center" wrapText="1"/>
    </xf>
    <xf numFmtId="0" fontId="0" fillId="47" borderId="0" xfId="0" applyFill="1" applyAlignment="1">
      <alignment horizontal="center" vertical="center" wrapText="1"/>
    </xf>
    <xf numFmtId="0" fontId="0" fillId="48" borderId="0" xfId="0" applyFill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0" fontId="0" fillId="51" borderId="0" xfId="0" applyFill="1" applyAlignment="1">
      <alignment horizontal="center" vertical="center" wrapText="1"/>
    </xf>
    <xf numFmtId="0" fontId="0" fillId="52" borderId="0" xfId="0" applyFill="1" applyAlignment="1">
      <alignment horizontal="center" vertical="center" wrapText="1"/>
    </xf>
    <xf numFmtId="0" fontId="0" fillId="53" borderId="0" xfId="0" applyFill="1" applyAlignment="1">
      <alignment horizontal="center" vertical="center" wrapText="1"/>
    </xf>
    <xf numFmtId="0" fontId="0" fillId="54" borderId="0" xfId="0" applyFill="1" applyAlignment="1">
      <alignment horizontal="center" vertical="center" wrapText="1"/>
    </xf>
    <xf numFmtId="0" fontId="0" fillId="55" borderId="0" xfId="0" applyFill="1" applyAlignment="1">
      <alignment horizontal="center" vertical="center" wrapText="1"/>
    </xf>
    <xf numFmtId="0" fontId="0" fillId="56" borderId="0" xfId="0" applyFill="1" applyAlignment="1">
      <alignment horizontal="center" vertical="center" wrapText="1"/>
    </xf>
    <xf numFmtId="0" fontId="0" fillId="57" borderId="0" xfId="0" applyFill="1" applyAlignment="1">
      <alignment horizontal="center" vertical="center" wrapText="1"/>
    </xf>
    <xf numFmtId="0" fontId="0" fillId="58" borderId="0" xfId="0" applyFill="1" applyAlignment="1">
      <alignment horizontal="center" vertical="center" wrapText="1"/>
    </xf>
    <xf numFmtId="0" fontId="0" fillId="59" borderId="0" xfId="0" applyFill="1" applyAlignment="1">
      <alignment horizontal="center" vertical="center" wrapText="1"/>
    </xf>
    <xf numFmtId="0" fontId="0" fillId="60" borderId="0" xfId="0" applyFill="1" applyAlignment="1">
      <alignment horizontal="center" vertical="center" wrapText="1"/>
    </xf>
    <xf numFmtId="0" fontId="0" fillId="61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63" borderId="0" xfId="0" applyFill="1" applyAlignment="1">
      <alignment horizontal="center" vertical="center" wrapText="1"/>
    </xf>
    <xf numFmtId="0" fontId="0" fillId="64" borderId="0" xfId="0" applyFill="1" applyAlignment="1">
      <alignment horizontal="center" vertical="center" wrapText="1"/>
    </xf>
    <xf numFmtId="0" fontId="0" fillId="65" borderId="0" xfId="0" applyFill="1" applyAlignment="1">
      <alignment horizontal="center" vertical="center" wrapText="1"/>
    </xf>
    <xf numFmtId="0" fontId="0" fillId="66" borderId="0" xfId="0" applyFill="1" applyAlignment="1">
      <alignment horizontal="center" vertical="center" wrapText="1"/>
    </xf>
    <xf numFmtId="0" fontId="0" fillId="67" borderId="0" xfId="0" applyFill="1" applyAlignment="1">
      <alignment horizontal="center" vertical="center" wrapText="1"/>
    </xf>
    <xf numFmtId="0" fontId="0" fillId="68" borderId="0" xfId="0" applyFill="1" applyAlignment="1">
      <alignment horizontal="center" vertical="center" wrapText="1"/>
    </xf>
    <xf numFmtId="0" fontId="0" fillId="69" borderId="0" xfId="0" applyFill="1" applyAlignment="1">
      <alignment horizontal="center" vertical="center" wrapText="1"/>
    </xf>
    <xf numFmtId="0" fontId="0" fillId="70" borderId="0" xfId="0" applyFill="1" applyAlignment="1">
      <alignment horizontal="center" vertical="center" wrapText="1"/>
    </xf>
    <xf numFmtId="0" fontId="0" fillId="71" borderId="0" xfId="0" applyFill="1" applyAlignment="1">
      <alignment horizontal="center" vertical="center" wrapText="1"/>
    </xf>
    <xf numFmtId="0" fontId="0" fillId="72" borderId="0" xfId="0" applyFill="1" applyAlignment="1">
      <alignment horizontal="center" vertical="center" wrapText="1"/>
    </xf>
    <xf numFmtId="0" fontId="0" fillId="73" borderId="0" xfId="0" applyFill="1" applyAlignment="1">
      <alignment horizontal="center" vertical="center" wrapText="1"/>
    </xf>
    <xf numFmtId="0" fontId="0" fillId="74" borderId="0" xfId="0" applyFill="1" applyAlignment="1">
      <alignment horizontal="center" vertical="center" wrapText="1"/>
    </xf>
    <xf numFmtId="0" fontId="0" fillId="75" borderId="0" xfId="0" applyFill="1" applyAlignment="1">
      <alignment horizontal="center" vertical="center" wrapText="1"/>
    </xf>
    <xf numFmtId="0" fontId="0" fillId="76" borderId="0" xfId="0" applyFill="1" applyAlignment="1">
      <alignment horizontal="center" vertical="center" wrapText="1"/>
    </xf>
    <xf numFmtId="0" fontId="0" fillId="77" borderId="0" xfId="0" applyFill="1" applyAlignment="1">
      <alignment horizontal="center" vertical="center" wrapText="1"/>
    </xf>
    <xf numFmtId="0" fontId="0" fillId="78" borderId="0" xfId="0" applyFill="1" applyAlignment="1">
      <alignment horizontal="center" vertical="center" wrapText="1"/>
    </xf>
    <xf numFmtId="0" fontId="0" fillId="79" borderId="0" xfId="0" applyFill="1" applyAlignment="1">
      <alignment horizontal="center" vertical="center" wrapText="1"/>
    </xf>
    <xf numFmtId="0" fontId="0" fillId="80" borderId="0" xfId="0" applyFill="1" applyAlignment="1">
      <alignment horizontal="center" vertical="center" wrapText="1"/>
    </xf>
    <xf numFmtId="0" fontId="0" fillId="81" borderId="0" xfId="0" applyFill="1" applyAlignment="1">
      <alignment horizontal="center" vertical="center" wrapText="1"/>
    </xf>
    <xf numFmtId="0" fontId="0" fillId="82" borderId="0" xfId="0" applyFill="1" applyAlignment="1">
      <alignment horizontal="center" vertical="center" wrapText="1"/>
    </xf>
    <xf numFmtId="0" fontId="0" fillId="83" borderId="0" xfId="0" applyFill="1" applyAlignment="1">
      <alignment horizontal="center" vertical="center" wrapText="1"/>
    </xf>
    <xf numFmtId="0" fontId="0" fillId="84" borderId="0" xfId="0" applyFill="1" applyAlignment="1">
      <alignment horizontal="center" vertical="center" wrapText="1"/>
    </xf>
    <xf numFmtId="0" fontId="0" fillId="85" borderId="0" xfId="0" applyFill="1" applyAlignment="1">
      <alignment horizontal="center" vertical="center" wrapText="1"/>
    </xf>
    <xf numFmtId="0" fontId="0" fillId="86" borderId="0" xfId="0" applyFill="1" applyAlignment="1">
      <alignment horizontal="center" vertical="center" wrapText="1"/>
    </xf>
    <xf numFmtId="0" fontId="0" fillId="87" borderId="0" xfId="0" applyFill="1" applyAlignment="1">
      <alignment horizontal="center" vertical="center" wrapText="1"/>
    </xf>
    <xf numFmtId="0" fontId="0" fillId="88" borderId="0" xfId="0" applyFill="1" applyAlignment="1">
      <alignment horizontal="center" vertical="center" wrapText="1"/>
    </xf>
    <xf numFmtId="0" fontId="0" fillId="89" borderId="0" xfId="0" applyFill="1" applyAlignment="1">
      <alignment horizontal="center" vertical="center" wrapText="1"/>
    </xf>
    <xf numFmtId="0" fontId="0" fillId="90" borderId="0" xfId="0" applyFill="1" applyAlignment="1">
      <alignment horizontal="center" vertical="center" wrapText="1"/>
    </xf>
    <xf numFmtId="0" fontId="0" fillId="91" borderId="0" xfId="0" applyFill="1" applyAlignment="1">
      <alignment horizontal="center" vertical="center" wrapText="1"/>
    </xf>
    <xf numFmtId="0" fontId="0" fillId="92" borderId="0" xfId="0" applyFill="1" applyAlignment="1">
      <alignment horizontal="center" vertical="center" wrapText="1"/>
    </xf>
    <xf numFmtId="0" fontId="0" fillId="93" borderId="0" xfId="0" applyFill="1" applyAlignment="1">
      <alignment horizontal="center" vertical="center" wrapText="1"/>
    </xf>
    <xf numFmtId="0" fontId="0" fillId="94" borderId="0" xfId="0" applyFill="1" applyAlignment="1">
      <alignment horizontal="center" vertical="center" wrapText="1"/>
    </xf>
    <xf numFmtId="0" fontId="0" fillId="95" borderId="0" xfId="0" applyFill="1" applyAlignment="1">
      <alignment horizontal="center" vertical="center" wrapText="1"/>
    </xf>
    <xf numFmtId="0" fontId="0" fillId="96" borderId="0" xfId="0" applyFill="1" applyAlignment="1">
      <alignment horizontal="center" vertical="center" wrapText="1"/>
    </xf>
    <xf numFmtId="0" fontId="0" fillId="97" borderId="0" xfId="0" applyFill="1" applyAlignment="1">
      <alignment horizontal="center" vertical="center" wrapText="1"/>
    </xf>
    <xf numFmtId="0" fontId="0" fillId="98" borderId="0" xfId="0" applyFill="1" applyAlignment="1">
      <alignment horizontal="center" vertical="center" wrapText="1"/>
    </xf>
    <xf numFmtId="0" fontId="0" fillId="99" borderId="0" xfId="0" applyFill="1" applyAlignment="1">
      <alignment horizontal="center" vertical="center" wrapText="1"/>
    </xf>
    <xf numFmtId="0" fontId="0" fillId="100" borderId="0" xfId="0" applyFill="1" applyAlignment="1">
      <alignment horizontal="center" vertical="center" wrapText="1"/>
    </xf>
    <xf numFmtId="0" fontId="0" fillId="101" borderId="0" xfId="0" applyFill="1" applyAlignment="1">
      <alignment horizontal="center" vertical="center" wrapText="1"/>
    </xf>
    <xf numFmtId="0" fontId="0" fillId="102" borderId="0" xfId="0" applyFill="1" applyAlignment="1">
      <alignment horizontal="center" vertical="center" wrapText="1"/>
    </xf>
    <xf numFmtId="0" fontId="0" fillId="103" borderId="0" xfId="0" applyFill="1" applyAlignment="1">
      <alignment horizontal="center" vertical="center" wrapText="1"/>
    </xf>
    <xf numFmtId="0" fontId="0" fillId="104" borderId="0" xfId="0" applyFill="1" applyAlignment="1">
      <alignment horizontal="center" vertical="center" wrapText="1"/>
    </xf>
    <xf numFmtId="0" fontId="0" fillId="105" borderId="0" xfId="0" applyFill="1" applyAlignment="1">
      <alignment horizontal="center" vertical="center" wrapText="1"/>
    </xf>
    <xf numFmtId="0" fontId="0" fillId="106" borderId="0" xfId="0" applyFill="1" applyAlignment="1">
      <alignment horizontal="center" vertical="center" wrapText="1"/>
    </xf>
    <xf numFmtId="0" fontId="0" fillId="107" borderId="0" xfId="0" applyFill="1" applyAlignment="1">
      <alignment horizontal="center" vertical="center" wrapText="1"/>
    </xf>
    <xf numFmtId="0" fontId="0" fillId="108" borderId="0" xfId="0" applyFill="1" applyAlignment="1">
      <alignment horizontal="center" vertical="center" wrapText="1"/>
    </xf>
    <xf numFmtId="0" fontId="0" fillId="109" borderId="0" xfId="0" applyFill="1" applyAlignment="1">
      <alignment horizontal="center" vertical="center" wrapText="1"/>
    </xf>
    <xf numFmtId="0" fontId="0" fillId="110" borderId="0" xfId="0" applyFill="1" applyAlignment="1">
      <alignment horizontal="center" vertical="center" wrapText="1"/>
    </xf>
    <xf numFmtId="0" fontId="0" fillId="111" borderId="0" xfId="0" applyFill="1" applyAlignment="1">
      <alignment horizontal="center" vertical="center" wrapText="1"/>
    </xf>
    <xf numFmtId="0" fontId="0" fillId="112" borderId="0" xfId="0" applyFill="1" applyAlignment="1">
      <alignment horizontal="center" vertical="center" wrapText="1"/>
    </xf>
    <xf numFmtId="0" fontId="0" fillId="113" borderId="0" xfId="0" applyFill="1" applyAlignment="1">
      <alignment horizontal="center" vertical="center" wrapText="1"/>
    </xf>
    <xf numFmtId="0" fontId="0" fillId="114" borderId="0" xfId="0" applyFill="1" applyAlignment="1">
      <alignment horizontal="center" vertical="center" wrapText="1"/>
    </xf>
    <xf numFmtId="0" fontId="0" fillId="115" borderId="0" xfId="0" applyFill="1" applyAlignment="1">
      <alignment horizontal="center" vertical="center" wrapText="1"/>
    </xf>
    <xf numFmtId="0" fontId="0" fillId="116" borderId="0" xfId="0" applyFill="1" applyAlignment="1">
      <alignment horizontal="center" vertical="center" wrapText="1"/>
    </xf>
    <xf numFmtId="0" fontId="0" fillId="117" borderId="0" xfId="0" applyFill="1" applyAlignment="1">
      <alignment horizontal="center" vertical="center" wrapText="1"/>
    </xf>
    <xf numFmtId="0" fontId="0" fillId="118" borderId="0" xfId="0" applyFill="1" applyAlignment="1">
      <alignment horizontal="center" vertical="center" wrapText="1"/>
    </xf>
    <xf numFmtId="0" fontId="0" fillId="119" borderId="0" xfId="0" applyFill="1" applyAlignment="1">
      <alignment horizontal="center" vertical="center" wrapText="1"/>
    </xf>
    <xf numFmtId="0" fontId="0" fillId="120" borderId="0" xfId="0" applyFill="1" applyAlignment="1">
      <alignment horizontal="center" vertical="center" wrapText="1"/>
    </xf>
    <xf numFmtId="0" fontId="0" fillId="121" borderId="0" xfId="0" applyFill="1" applyAlignment="1">
      <alignment horizontal="center" vertical="center" wrapText="1"/>
    </xf>
    <xf numFmtId="0" fontId="0" fillId="122" borderId="0" xfId="0" applyFill="1" applyAlignment="1">
      <alignment horizontal="center" vertical="center" wrapText="1"/>
    </xf>
    <xf numFmtId="0" fontId="0" fillId="123" borderId="0" xfId="0" applyFill="1" applyAlignment="1">
      <alignment horizontal="center" vertical="center" wrapText="1"/>
    </xf>
    <xf numFmtId="0" fontId="0" fillId="124" borderId="0" xfId="0" applyFill="1" applyAlignment="1">
      <alignment horizontal="center" vertical="center" wrapText="1"/>
    </xf>
    <xf numFmtId="0" fontId="0" fillId="125" borderId="0" xfId="0" applyFill="1" applyAlignment="1">
      <alignment horizontal="center" vertical="center" wrapText="1"/>
    </xf>
    <xf numFmtId="0" fontId="0" fillId="126" borderId="0" xfId="0" applyFill="1" applyAlignment="1">
      <alignment horizontal="center" vertical="center" wrapText="1"/>
    </xf>
    <xf numFmtId="0" fontId="0" fillId="127" borderId="0" xfId="0" applyFill="1" applyAlignment="1">
      <alignment horizontal="center" vertical="center" wrapText="1"/>
    </xf>
    <xf numFmtId="0" fontId="0" fillId="128" borderId="0" xfId="0" applyFill="1" applyAlignment="1">
      <alignment horizontal="center" vertical="center" wrapText="1"/>
    </xf>
    <xf numFmtId="0" fontId="0" fillId="129" borderId="0" xfId="0" applyFill="1" applyAlignment="1">
      <alignment horizontal="center" vertical="center" wrapText="1"/>
    </xf>
    <xf numFmtId="0" fontId="0" fillId="130" borderId="0" xfId="0" applyFill="1" applyAlignment="1">
      <alignment horizontal="center" vertical="center" wrapText="1"/>
    </xf>
    <xf numFmtId="0" fontId="0" fillId="131" borderId="0" xfId="0" applyFill="1" applyAlignment="1">
      <alignment horizontal="center" vertical="center" wrapText="1"/>
    </xf>
    <xf numFmtId="0" fontId="0" fillId="132" borderId="0" xfId="0" applyFill="1" applyAlignment="1">
      <alignment horizontal="center" vertical="center" wrapText="1"/>
    </xf>
    <xf numFmtId="0" fontId="0" fillId="133" borderId="0" xfId="0" applyFill="1" applyAlignment="1">
      <alignment horizontal="center" vertical="center" wrapText="1"/>
    </xf>
    <xf numFmtId="0" fontId="0" fillId="134" borderId="0" xfId="0" applyFill="1" applyAlignment="1">
      <alignment horizontal="center" vertical="center" wrapText="1"/>
    </xf>
    <xf numFmtId="0" fontId="0" fillId="135" borderId="0" xfId="0" applyFill="1" applyAlignment="1">
      <alignment horizontal="center" vertical="center" wrapText="1"/>
    </xf>
    <xf numFmtId="0" fontId="0" fillId="137" borderId="0" xfId="0" applyFill="1" applyAlignment="1">
      <alignment horizontal="center" vertical="center" wrapText="1"/>
    </xf>
    <xf numFmtId="0" fontId="0" fillId="138" borderId="0" xfId="0" applyFill="1" applyAlignment="1">
      <alignment horizontal="center" vertical="center" wrapText="1"/>
    </xf>
    <xf numFmtId="0" fontId="0" fillId="139" borderId="0" xfId="0" applyFill="1" applyAlignment="1">
      <alignment horizontal="center" vertical="center" wrapText="1"/>
    </xf>
    <xf numFmtId="0" fontId="0" fillId="140" borderId="0" xfId="0" applyFill="1" applyAlignment="1">
      <alignment horizontal="center" vertical="center" wrapText="1"/>
    </xf>
    <xf numFmtId="0" fontId="0" fillId="141" borderId="0" xfId="0" applyFill="1" applyAlignment="1">
      <alignment horizontal="center" vertical="center" wrapText="1"/>
    </xf>
    <xf numFmtId="0" fontId="0" fillId="142" borderId="0" xfId="0" applyFill="1" applyAlignment="1">
      <alignment horizontal="center" vertical="center" wrapText="1"/>
    </xf>
    <xf numFmtId="0" fontId="0" fillId="143" borderId="0" xfId="0" applyFill="1" applyAlignment="1">
      <alignment horizontal="center" vertical="center" wrapText="1"/>
    </xf>
    <xf numFmtId="0" fontId="0" fillId="144" borderId="0" xfId="0" applyFill="1" applyAlignment="1">
      <alignment horizontal="center" vertical="center" wrapText="1"/>
    </xf>
    <xf numFmtId="0" fontId="0" fillId="145" borderId="0" xfId="0" applyFill="1" applyAlignment="1">
      <alignment horizontal="center" vertical="center" wrapText="1"/>
    </xf>
    <xf numFmtId="0" fontId="0" fillId="146" borderId="0" xfId="0" applyFill="1" applyAlignment="1">
      <alignment horizontal="center" vertical="center" wrapText="1"/>
    </xf>
    <xf numFmtId="0" fontId="0" fillId="147" borderId="0" xfId="0" applyFill="1" applyAlignment="1">
      <alignment horizontal="center" vertical="center" wrapText="1"/>
    </xf>
    <xf numFmtId="0" fontId="0" fillId="148" borderId="0" xfId="0" applyFill="1" applyAlignment="1">
      <alignment horizontal="center" vertical="center" wrapText="1"/>
    </xf>
    <xf numFmtId="0" fontId="0" fillId="149" borderId="0" xfId="0" applyFill="1" applyAlignment="1">
      <alignment horizontal="center" vertical="center" wrapText="1"/>
    </xf>
    <xf numFmtId="0" fontId="0" fillId="150" borderId="0" xfId="0" applyFill="1" applyAlignment="1">
      <alignment horizontal="center" vertical="center" wrapText="1"/>
    </xf>
    <xf numFmtId="0" fontId="0" fillId="151" borderId="0" xfId="0" applyFill="1" applyAlignment="1">
      <alignment horizontal="center" vertical="center" wrapText="1"/>
    </xf>
    <xf numFmtId="0" fontId="0" fillId="152" borderId="0" xfId="0" applyFill="1" applyAlignment="1">
      <alignment horizontal="center" vertical="center" wrapText="1"/>
    </xf>
    <xf numFmtId="0" fontId="0" fillId="153" borderId="0" xfId="0" applyFill="1" applyAlignment="1">
      <alignment horizontal="center" vertical="center" wrapText="1"/>
    </xf>
    <xf numFmtId="0" fontId="0" fillId="154" borderId="0" xfId="0" applyFill="1" applyAlignment="1">
      <alignment horizontal="center" vertical="center" wrapText="1"/>
    </xf>
    <xf numFmtId="0" fontId="0" fillId="155" borderId="0" xfId="0" applyFill="1" applyAlignment="1">
      <alignment horizontal="center" vertical="center" wrapText="1"/>
    </xf>
    <xf numFmtId="0" fontId="0" fillId="156" borderId="0" xfId="0" applyFill="1" applyAlignment="1">
      <alignment horizontal="center" vertical="center" wrapText="1"/>
    </xf>
    <xf numFmtId="0" fontId="0" fillId="157" borderId="0" xfId="0" applyFill="1" applyAlignment="1">
      <alignment horizontal="center" vertical="center" wrapText="1"/>
    </xf>
    <xf numFmtId="0" fontId="0" fillId="158" borderId="0" xfId="0" applyFill="1" applyAlignment="1">
      <alignment horizontal="center" vertical="center" wrapText="1"/>
    </xf>
    <xf numFmtId="0" fontId="0" fillId="159" borderId="0" xfId="0" applyFill="1" applyAlignment="1">
      <alignment horizontal="center" vertical="center" wrapText="1"/>
    </xf>
    <xf numFmtId="0" fontId="0" fillId="160" borderId="0" xfId="0" applyFill="1" applyAlignment="1">
      <alignment horizontal="center" vertical="center" wrapText="1"/>
    </xf>
    <xf numFmtId="0" fontId="0" fillId="161" borderId="0" xfId="0" applyFill="1" applyAlignment="1">
      <alignment horizontal="center" vertical="center" wrapText="1"/>
    </xf>
    <xf numFmtId="0" fontId="0" fillId="162" borderId="0" xfId="0" applyFill="1" applyAlignment="1">
      <alignment horizontal="center" vertical="center" wrapText="1"/>
    </xf>
    <xf numFmtId="0" fontId="0" fillId="163" borderId="0" xfId="0" applyFill="1" applyAlignment="1">
      <alignment horizontal="center" vertical="center" wrapText="1"/>
    </xf>
    <xf numFmtId="0" fontId="0" fillId="164" borderId="0" xfId="0" applyFill="1" applyAlignment="1">
      <alignment horizontal="center" vertical="center" wrapText="1"/>
    </xf>
    <xf numFmtId="0" fontId="0" fillId="165" borderId="0" xfId="0" applyFill="1" applyAlignment="1">
      <alignment horizontal="center" vertical="center" wrapText="1"/>
    </xf>
    <xf numFmtId="0" fontId="0" fillId="166" borderId="0" xfId="0" applyFill="1" applyAlignment="1">
      <alignment horizontal="center" vertical="center" wrapText="1"/>
    </xf>
    <xf numFmtId="0" fontId="0" fillId="167" borderId="0" xfId="0" applyFill="1" applyAlignment="1">
      <alignment horizontal="center" vertical="center" wrapText="1"/>
    </xf>
    <xf numFmtId="0" fontId="0" fillId="168" borderId="0" xfId="0" applyFill="1" applyAlignment="1">
      <alignment horizontal="center" vertical="center" wrapText="1"/>
    </xf>
    <xf numFmtId="0" fontId="0" fillId="169" borderId="0" xfId="0" applyFill="1" applyAlignment="1">
      <alignment horizontal="center" vertical="center" wrapText="1"/>
    </xf>
    <xf numFmtId="0" fontId="0" fillId="170" borderId="0" xfId="0" applyFill="1" applyAlignment="1">
      <alignment horizontal="center" vertical="center" wrapText="1"/>
    </xf>
    <xf numFmtId="0" fontId="0" fillId="171" borderId="0" xfId="0" applyFill="1" applyAlignment="1">
      <alignment horizontal="center" vertical="center" wrapText="1"/>
    </xf>
    <xf numFmtId="0" fontId="0" fillId="172" borderId="0" xfId="0" applyFill="1" applyAlignment="1">
      <alignment horizontal="center" vertical="center" wrapText="1"/>
    </xf>
    <xf numFmtId="0" fontId="0" fillId="173" borderId="0" xfId="0" applyFill="1" applyAlignment="1">
      <alignment horizontal="center" vertical="center" wrapText="1"/>
    </xf>
    <xf numFmtId="0" fontId="0" fillId="174" borderId="0" xfId="0" applyFill="1" applyAlignment="1">
      <alignment horizontal="center" vertical="center" wrapText="1"/>
    </xf>
    <xf numFmtId="0" fontId="0" fillId="175" borderId="0" xfId="0" applyFill="1" applyAlignment="1">
      <alignment horizontal="center" vertical="center" wrapText="1"/>
    </xf>
    <xf numFmtId="0" fontId="0" fillId="176" borderId="0" xfId="0" applyFill="1" applyAlignment="1">
      <alignment horizontal="center" vertical="center" wrapText="1"/>
    </xf>
    <xf numFmtId="0" fontId="0" fillId="177" borderId="0" xfId="0" applyFill="1" applyAlignment="1">
      <alignment horizontal="center" vertical="center" wrapText="1"/>
    </xf>
    <xf numFmtId="0" fontId="0" fillId="178" borderId="0" xfId="0" applyFill="1" applyAlignment="1">
      <alignment horizontal="center" vertical="center" wrapText="1"/>
    </xf>
    <xf numFmtId="0" fontId="0" fillId="179" borderId="0" xfId="0" applyFill="1" applyAlignment="1">
      <alignment horizontal="center" vertical="center" wrapText="1"/>
    </xf>
    <xf numFmtId="0" fontId="0" fillId="180" borderId="0" xfId="0" applyFill="1" applyAlignment="1">
      <alignment horizontal="center" vertical="center" wrapText="1"/>
    </xf>
    <xf numFmtId="0" fontId="0" fillId="181" borderId="0" xfId="0" applyFill="1" applyAlignment="1">
      <alignment horizontal="center" vertical="center" wrapText="1"/>
    </xf>
    <xf numFmtId="0" fontId="0" fillId="182" borderId="0" xfId="0" applyFill="1" applyAlignment="1">
      <alignment horizontal="center" vertical="center" wrapText="1"/>
    </xf>
    <xf numFmtId="0" fontId="0" fillId="183" borderId="0" xfId="0" applyFill="1" applyAlignment="1">
      <alignment horizontal="center" vertical="center" wrapText="1"/>
    </xf>
    <xf numFmtId="0" fontId="0" fillId="184" borderId="0" xfId="0" applyFill="1" applyAlignment="1">
      <alignment horizontal="center" vertical="center" wrapText="1"/>
    </xf>
    <xf numFmtId="0" fontId="0" fillId="185" borderId="0" xfId="0" applyFill="1" applyAlignment="1">
      <alignment horizontal="center" vertical="center" wrapText="1"/>
    </xf>
    <xf numFmtId="0" fontId="0" fillId="186" borderId="0" xfId="0" applyFill="1" applyAlignment="1">
      <alignment horizontal="center" vertical="center" wrapText="1"/>
    </xf>
    <xf numFmtId="0" fontId="0" fillId="187" borderId="0" xfId="0" applyFill="1" applyAlignment="1">
      <alignment horizontal="center" vertical="center" wrapText="1"/>
    </xf>
    <xf numFmtId="0" fontId="0" fillId="188" borderId="0" xfId="0" applyFill="1" applyAlignment="1">
      <alignment horizontal="center" vertical="center" wrapText="1"/>
    </xf>
    <xf numFmtId="0" fontId="0" fillId="189" borderId="0" xfId="0" applyFill="1" applyAlignment="1">
      <alignment horizontal="center" vertical="center" wrapText="1"/>
    </xf>
    <xf numFmtId="0" fontId="0" fillId="190" borderId="0" xfId="0" applyFill="1" applyAlignment="1">
      <alignment horizontal="center" vertical="center" wrapText="1"/>
    </xf>
    <xf numFmtId="0" fontId="0" fillId="191" borderId="0" xfId="0" applyFill="1" applyAlignment="1">
      <alignment horizontal="center" vertical="center" wrapText="1"/>
    </xf>
    <xf numFmtId="0" fontId="0" fillId="192" borderId="0" xfId="0" applyFill="1" applyAlignment="1">
      <alignment horizontal="center" vertical="center" wrapText="1"/>
    </xf>
    <xf numFmtId="0" fontId="0" fillId="193" borderId="0" xfId="0" applyFill="1" applyAlignment="1">
      <alignment horizontal="center" vertical="center" wrapText="1"/>
    </xf>
    <xf numFmtId="0" fontId="0" fillId="194" borderId="0" xfId="0" applyFill="1" applyAlignment="1">
      <alignment horizontal="center" vertical="center" wrapText="1"/>
    </xf>
    <xf numFmtId="0" fontId="0" fillId="195" borderId="0" xfId="0" applyFill="1" applyAlignment="1">
      <alignment horizontal="center" vertical="center" wrapText="1"/>
    </xf>
    <xf numFmtId="0" fontId="0" fillId="196" borderId="0" xfId="0" applyFill="1" applyAlignment="1">
      <alignment horizontal="center" vertical="center" wrapText="1"/>
    </xf>
    <xf numFmtId="0" fontId="0" fillId="197" borderId="0" xfId="0" applyFill="1" applyAlignment="1">
      <alignment horizontal="center" vertical="center" wrapText="1"/>
    </xf>
    <xf numFmtId="0" fontId="0" fillId="198" borderId="0" xfId="0" applyFill="1" applyAlignment="1">
      <alignment horizontal="center" vertical="center" wrapText="1"/>
    </xf>
    <xf numFmtId="0" fontId="0" fillId="199" borderId="0" xfId="0" applyFill="1" applyAlignment="1">
      <alignment horizontal="center" vertical="center" wrapText="1"/>
    </xf>
    <xf numFmtId="0" fontId="0" fillId="200" borderId="0" xfId="0" applyFill="1" applyAlignment="1">
      <alignment horizontal="center" vertical="center" wrapText="1"/>
    </xf>
    <xf numFmtId="0" fontId="0" fillId="201" borderId="0" xfId="0" applyFill="1" applyAlignment="1">
      <alignment horizontal="center" vertical="center" wrapText="1"/>
    </xf>
    <xf numFmtId="0" fontId="0" fillId="202" borderId="0" xfId="0" applyFill="1" applyAlignment="1">
      <alignment horizontal="center" vertical="center" wrapText="1"/>
    </xf>
    <xf numFmtId="0" fontId="0" fillId="203" borderId="0" xfId="0" applyFill="1" applyAlignment="1">
      <alignment horizontal="center" vertical="center" wrapText="1"/>
    </xf>
    <xf numFmtId="0" fontId="0" fillId="204" borderId="0" xfId="0" applyFill="1" applyAlignment="1">
      <alignment horizontal="center" vertical="center" wrapText="1"/>
    </xf>
    <xf numFmtId="0" fontId="0" fillId="205" borderId="0" xfId="0" applyFill="1" applyAlignment="1">
      <alignment horizontal="center" vertical="center" wrapText="1"/>
    </xf>
    <xf numFmtId="0" fontId="0" fillId="206" borderId="0" xfId="0" applyFill="1" applyAlignment="1">
      <alignment horizontal="center" vertical="center" wrapText="1"/>
    </xf>
    <xf numFmtId="0" fontId="0" fillId="207" borderId="0" xfId="0" applyFill="1" applyAlignment="1">
      <alignment horizontal="center" vertical="center" wrapText="1"/>
    </xf>
    <xf numFmtId="0" fontId="0" fillId="208" borderId="0" xfId="0" applyFill="1" applyAlignment="1">
      <alignment horizontal="center" vertical="center" wrapText="1"/>
    </xf>
    <xf numFmtId="0" fontId="0" fillId="209" borderId="0" xfId="0" applyFill="1" applyAlignment="1">
      <alignment horizontal="center" vertical="center" wrapText="1"/>
    </xf>
    <xf numFmtId="0" fontId="0" fillId="210" borderId="0" xfId="0" applyFill="1" applyAlignment="1">
      <alignment horizontal="center" vertical="center" wrapText="1"/>
    </xf>
    <xf numFmtId="0" fontId="0" fillId="211" borderId="0" xfId="0" applyFill="1" applyAlignment="1">
      <alignment horizontal="center" vertical="center" wrapText="1"/>
    </xf>
    <xf numFmtId="0" fontId="0" fillId="212" borderId="0" xfId="0" applyFill="1" applyAlignment="1">
      <alignment horizontal="center" vertical="center" wrapText="1"/>
    </xf>
    <xf numFmtId="0" fontId="0" fillId="213" borderId="0" xfId="0" applyFill="1" applyAlignment="1">
      <alignment horizontal="center" vertical="center" wrapText="1"/>
    </xf>
    <xf numFmtId="0" fontId="0" fillId="214" borderId="0" xfId="0" applyFill="1" applyAlignment="1">
      <alignment horizontal="center" vertical="center" wrapText="1"/>
    </xf>
    <xf numFmtId="0" fontId="0" fillId="215" borderId="0" xfId="0" applyFill="1" applyAlignment="1">
      <alignment horizontal="center" vertical="center" wrapText="1"/>
    </xf>
    <xf numFmtId="0" fontId="0" fillId="216" borderId="0" xfId="0" applyFill="1" applyAlignment="1">
      <alignment horizontal="center" vertical="center" wrapText="1"/>
    </xf>
    <xf numFmtId="0" fontId="0" fillId="217" borderId="0" xfId="0" applyFill="1" applyAlignment="1">
      <alignment horizontal="center" vertical="center" wrapText="1"/>
    </xf>
    <xf numFmtId="0" fontId="0" fillId="218" borderId="0" xfId="0" applyFill="1" applyAlignment="1">
      <alignment horizontal="center" vertical="center" wrapText="1"/>
    </xf>
    <xf numFmtId="0" fontId="0" fillId="219" borderId="0" xfId="0" applyFill="1" applyAlignment="1">
      <alignment horizontal="center" vertical="center" wrapText="1"/>
    </xf>
    <xf numFmtId="0" fontId="0" fillId="220" borderId="0" xfId="0" applyFill="1" applyAlignment="1">
      <alignment horizontal="center" vertical="center" wrapText="1"/>
    </xf>
    <xf numFmtId="0" fontId="0" fillId="221" borderId="0" xfId="0" applyFill="1" applyAlignment="1">
      <alignment horizontal="center" vertical="center" wrapText="1"/>
    </xf>
    <xf numFmtId="0" fontId="0" fillId="222" borderId="0" xfId="0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223" borderId="0" xfId="0" applyFill="1" applyAlignment="1">
      <alignment horizontal="center" vertical="center" wrapText="1"/>
    </xf>
    <xf numFmtId="0" fontId="0" fillId="224" borderId="0" xfId="0" applyFill="1" applyAlignment="1">
      <alignment horizontal="center" vertical="center" wrapText="1"/>
    </xf>
    <xf numFmtId="0" fontId="0" fillId="225" borderId="0" xfId="0" applyFill="1" applyAlignment="1">
      <alignment horizontal="center" vertical="center" wrapText="1"/>
    </xf>
    <xf numFmtId="0" fontId="0" fillId="226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136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quotePrefix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de.wikipedia.org/wiki/Gelb" TargetMode="External"/><Relationship Id="rId13" Type="http://purl.oclc.org/ooxml/officeDocument/relationships/hyperlink" Target="https://de.wikipedia.org/wiki/Zitronengelb_(Farbe)" TargetMode="External"/><Relationship Id="rId18" Type="http://purl.oclc.org/ooxml/officeDocument/relationships/hyperlink" Target="https://de.wikipedia.org/wiki/Zinkgelb" TargetMode="External"/><Relationship Id="rId3" Type="http://purl.oclc.org/ooxml/officeDocument/relationships/hyperlink" Target="https://de.wikipedia.org/wiki/RAL-Farbe" TargetMode="External"/><Relationship Id="rId21" Type="http://purl.oclc.org/ooxml/officeDocument/relationships/hyperlink" Target="https://de.wikipedia.org/wiki/Ocker" TargetMode="External"/><Relationship Id="rId7" Type="http://purl.oclc.org/ooxml/officeDocument/relationships/hyperlink" Target="https://de.wikipedia.org/wiki/Gelb" TargetMode="External"/><Relationship Id="rId12" Type="http://purl.oclc.org/ooxml/officeDocument/relationships/hyperlink" Target="https://de.wikipedia.org/wiki/RAL-Farbe" TargetMode="External"/><Relationship Id="rId17" Type="http://purl.oclc.org/ooxml/officeDocument/relationships/hyperlink" Target="https://de.wikipedia.org/wiki/Gelb" TargetMode="External"/><Relationship Id="rId2" Type="http://purl.oclc.org/ooxml/officeDocument/relationships/hyperlink" Target="https://de.wikipedia.org/wiki/Lab-Farbraum" TargetMode="External"/><Relationship Id="rId16" Type="http://purl.oclc.org/ooxml/officeDocument/relationships/hyperlink" Target="https://de.wikipedia.org/wiki/Taxi" TargetMode="External"/><Relationship Id="rId20" Type="http://purl.oclc.org/ooxml/officeDocument/relationships/hyperlink" Target="https://de.wikipedia.org/wiki/RAL-Farbe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RAL-Farbe" TargetMode="External"/><Relationship Id="rId11" Type="http://purl.oclc.org/ooxml/officeDocument/relationships/hyperlink" Target="https://de.wikipedia.org/wiki/Narzissengelb" TargetMode="External"/><Relationship Id="rId5" Type="http://purl.oclc.org/ooxml/officeDocument/relationships/hyperlink" Target="https://de.wikipedia.org/wiki/RAL-Farbe" TargetMode="External"/><Relationship Id="rId15" Type="http://purl.oclc.org/ooxml/officeDocument/relationships/hyperlink" Target="https://de.wikipedia.org/wiki/Elfenbein" TargetMode="External"/><Relationship Id="rId23" Type="http://purl.oclc.org/ooxml/officeDocument/relationships/printerSettings" Target="../printerSettings/printerSettings1.bin"/><Relationship Id="rId10" Type="http://purl.oclc.org/ooxml/officeDocument/relationships/hyperlink" Target="https://de.wikipedia.org/wiki/RAL-Farbe" TargetMode="External"/><Relationship Id="rId19" Type="http://purl.oclc.org/ooxml/officeDocument/relationships/hyperlink" Target="https://de.wikipedia.org/wiki/Verkehrsgelb" TargetMode="External"/><Relationship Id="rId4" Type="http://purl.oclc.org/ooxml/officeDocument/relationships/hyperlink" Target="https://de.wikipedia.org/wiki/Naturfarben" TargetMode="External"/><Relationship Id="rId9" Type="http://purl.oclc.org/ooxml/officeDocument/relationships/hyperlink" Target="https://de.wikipedia.org/wiki/RAL-Farbe" TargetMode="External"/><Relationship Id="rId14" Type="http://purl.oclc.org/ooxml/officeDocument/relationships/hyperlink" Target="https://de.wikipedia.org/wiki/Elektroinstallation" TargetMode="External"/><Relationship Id="rId22" Type="http://purl.oclc.org/ooxml/officeDocument/relationships/hyperlink" Target="https://de.wikipedia.org/wiki/Deutsche_Post_AG" TargetMode="Externa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hyperlink" Target="https://de.wikipedia.org/wiki/RAL-Farbe" TargetMode="External"/><Relationship Id="rId7" Type="http://purl.oclc.org/ooxml/officeDocument/relationships/hyperlink" Target="https://de.wikipedia.org/wiki/RAL-Farbe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Erweiterter_Katastrophenschutz" TargetMode="External"/><Relationship Id="rId5" Type="http://purl.oclc.org/ooxml/officeDocument/relationships/hyperlink" Target="https://de.wikipedia.org/wiki/Reinorange" TargetMode="External"/><Relationship Id="rId4" Type="http://purl.oclc.org/ooxml/officeDocument/relationships/hyperlink" Target="https://de.wikipedia.org/wiki/RAL-Farbe" TargetMode="External"/></Relationships>
</file>

<file path=xl/worksheets/_rels/sheet3.xml.rels><?xml version="1.0" encoding="UTF-8" standalone="yes"?>
<Relationships xmlns="http://schemas.openxmlformats.org/package/2006/relationships"><Relationship Id="rId8" Type="http://purl.oclc.org/ooxml/officeDocument/relationships/hyperlink" Target="https://de.wikipedia.org/wiki/RAL-Farbe" TargetMode="External"/><Relationship Id="rId13" Type="http://purl.oclc.org/ooxml/officeDocument/relationships/hyperlink" Target="https://de.wikipedia.org/wiki/Orientrot" TargetMode="External"/><Relationship Id="rId3" Type="http://purl.oclc.org/ooxml/officeDocument/relationships/hyperlink" Target="https://de.wikipedia.org/wiki/Feuerwehrfahrzeug" TargetMode="External"/><Relationship Id="rId7" Type="http://purl.oclc.org/ooxml/officeDocument/relationships/hyperlink" Target="https://de.wikipedia.org/wiki/RAL-Farbe" TargetMode="External"/><Relationship Id="rId12" Type="http://purl.oclc.org/ooxml/officeDocument/relationships/hyperlink" Target="https://de.wikipedia.org/wiki/Schifffahrtszeichen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RAL-Farbe" TargetMode="External"/><Relationship Id="rId11" Type="http://purl.oclc.org/ooxml/officeDocument/relationships/hyperlink" Target="https://de.wikipedia.org/wiki/Himbeerrot" TargetMode="External"/><Relationship Id="rId5" Type="http://purl.oclc.org/ooxml/officeDocument/relationships/hyperlink" Target="https://de.wikipedia.org/wiki/Purpur_(Farbe)" TargetMode="External"/><Relationship Id="rId10" Type="http://purl.oclc.org/ooxml/officeDocument/relationships/hyperlink" Target="https://de.wikipedia.org/wiki/Verkehrsrot" TargetMode="External"/><Relationship Id="rId4" Type="http://purl.oclc.org/ooxml/officeDocument/relationships/hyperlink" Target="https://de.wikipedia.org/wiki/Karminrot" TargetMode="External"/><Relationship Id="rId9" Type="http://purl.oclc.org/ooxml/officeDocument/relationships/hyperlink" Target="https://de.wikipedia.org/wiki/Oxidrot" TargetMode="External"/><Relationship Id="rId14" Type="http://purl.oclc.org/ooxml/officeDocument/relationships/hyperlink" Target="https://de.wikipedia.org/wiki/Deutsche_Bundesbahn" TargetMode="Externa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hyperlink" Target="https://de.wikipedia.org/wiki/Deutsche_Telekom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/Relationships>
</file>

<file path=xl/worksheets/_rels/sheet5.xml.rels><?xml version="1.0" encoding="UTF-8" standalone="yes"?>
<Relationships xmlns="http://schemas.openxmlformats.org/package/2006/relationships"><Relationship Id="rId8" Type="http://purl.oclc.org/ooxml/officeDocument/relationships/hyperlink" Target="https://de.wikipedia.org/wiki/Stahlblau" TargetMode="External"/><Relationship Id="rId13" Type="http://purl.oclc.org/ooxml/officeDocument/relationships/hyperlink" Target="https://de.wikipedia.org/wiki/Verkehrsblau" TargetMode="External"/><Relationship Id="rId3" Type="http://purl.oclc.org/ooxml/officeDocument/relationships/hyperlink" Target="https://de.wikipedia.org/wiki/RAL-Farbe" TargetMode="External"/><Relationship Id="rId7" Type="http://purl.oclc.org/ooxml/officeDocument/relationships/hyperlink" Target="https://de.wikipedia.org/wiki/Azurblau" TargetMode="External"/><Relationship Id="rId12" Type="http://purl.oclc.org/ooxml/officeDocument/relationships/hyperlink" Target="https://de.wikipedia.org/wiki/Hellblau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Gebotszeichen" TargetMode="External"/><Relationship Id="rId11" Type="http://purl.oclc.org/ooxml/officeDocument/relationships/hyperlink" Target="https://de.wikipedia.org/wiki/Th%C3%A9nards_Blau" TargetMode="External"/><Relationship Id="rId5" Type="http://purl.oclc.org/ooxml/officeDocument/relationships/hyperlink" Target="https://de.wikipedia.org/wiki/RAL-Farbe" TargetMode="External"/><Relationship Id="rId15" Type="http://purl.oclc.org/ooxml/officeDocument/relationships/hyperlink" Target="https://de.wikipedia.org/wiki/Lufthansa" TargetMode="External"/><Relationship Id="rId10" Type="http://purl.oclc.org/ooxml/officeDocument/relationships/hyperlink" Target="https://de.wikipedia.org/wiki/Hellblau" TargetMode="External"/><Relationship Id="rId4" Type="http://purl.oclc.org/ooxml/officeDocument/relationships/hyperlink" Target="https://de.wikipedia.org/wiki/Ultramarinblau" TargetMode="External"/><Relationship Id="rId9" Type="http://purl.oclc.org/ooxml/officeDocument/relationships/hyperlink" Target="https://de.wikipedia.org/wiki/Polizeiuniform_(Deutschland)" TargetMode="External"/><Relationship Id="rId14" Type="http://purl.oclc.org/ooxml/officeDocument/relationships/hyperlink" Target="https://de.wikipedia.org/wiki/T%C3%BCrkisblau" TargetMode="External"/></Relationships>
</file>

<file path=xl/worksheets/_rels/sheet6.xml.rels><?xml version="1.0" encoding="UTF-8" standalone="yes"?>
<Relationships xmlns="http://schemas.openxmlformats.org/package/2006/relationships"><Relationship Id="rId8" Type="http://purl.oclc.org/ooxml/officeDocument/relationships/hyperlink" Target="https://de.wikipedia.org/wiki/RAL-Farbe" TargetMode="External"/><Relationship Id="rId13" Type="http://purl.oclc.org/ooxml/officeDocument/relationships/hyperlink" Target="https://de.wikipedia.org/wiki/Reseda" TargetMode="External"/><Relationship Id="rId18" Type="http://purl.oclc.org/ooxml/officeDocument/relationships/hyperlink" Target="https://de.wikipedia.org/wiki/Chrom(III)-oxid" TargetMode="External"/><Relationship Id="rId3" Type="http://purl.oclc.org/ooxml/officeDocument/relationships/hyperlink" Target="https://de.wikipedia.org/wiki/Patina" TargetMode="External"/><Relationship Id="rId21" Type="http://purl.oclc.org/ooxml/officeDocument/relationships/hyperlink" Target="https://de.wikipedia.org/wiki/Rettungszeichen" TargetMode="External"/><Relationship Id="rId7" Type="http://purl.oclc.org/ooxml/officeDocument/relationships/hyperlink" Target="https://de.wikipedia.org/wiki/RAL-Farbe" TargetMode="External"/><Relationship Id="rId12" Type="http://purl.oclc.org/ooxml/officeDocument/relationships/hyperlink" Target="https://de.wikipedia.org/wiki/RAL-Farbe" TargetMode="External"/><Relationship Id="rId17" Type="http://purl.oclc.org/ooxml/officeDocument/relationships/hyperlink" Target="https://de.wikipedia.org/wiki/Gelbgr%C3%BCn" TargetMode="External"/><Relationship Id="rId2" Type="http://purl.oclc.org/ooxml/officeDocument/relationships/hyperlink" Target="https://de.wikipedia.org/wiki/Lab-Farbraum" TargetMode="External"/><Relationship Id="rId16" Type="http://purl.oclc.org/ooxml/officeDocument/relationships/hyperlink" Target="https://de.wikipedia.org/wiki/B%C3%BCndnis_90/Die_Gr%C3%BCnen" TargetMode="External"/><Relationship Id="rId20" Type="http://purl.oclc.org/ooxml/officeDocument/relationships/hyperlink" Target="https://de.wikipedia.org/wiki/Bundesgrenzschutz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Olivgr%C3%BCn" TargetMode="External"/><Relationship Id="rId11" Type="http://purl.oclc.org/ooxml/officeDocument/relationships/hyperlink" Target="https://de.wikipedia.org/wiki/Tannengr%C3%BCn_(Farbe)" TargetMode="External"/><Relationship Id="rId5" Type="http://purl.oclc.org/ooxml/officeDocument/relationships/hyperlink" Target="https://de.wikipedia.org/w/index.php?title=Laubgr%C3%BCn&amp;action=edit&amp;redlink=1" TargetMode="External"/><Relationship Id="rId15" Type="http://purl.oclc.org/ooxml/officeDocument/relationships/hyperlink" Target="https://de.wikipedia.org/wiki/Maigr%C3%BCn" TargetMode="External"/><Relationship Id="rId10" Type="http://purl.oclc.org/ooxml/officeDocument/relationships/hyperlink" Target="https://de.wikipedia.org/wiki/RAL-Farbe" TargetMode="External"/><Relationship Id="rId19" Type="http://purl.oclc.org/ooxml/officeDocument/relationships/hyperlink" Target="https://de.wikipedia.org/wiki/Blassgr%C3%BCn" TargetMode="External"/><Relationship Id="rId4" Type="http://purl.oclc.org/ooxml/officeDocument/relationships/hyperlink" Target="https://de.wikipedia.org/wiki/Liste_der_DIN-Normen" TargetMode="External"/><Relationship Id="rId9" Type="http://purl.oclc.org/ooxml/officeDocument/relationships/hyperlink" Target="https://de.wikipedia.org/wiki/RAL-Farbe" TargetMode="External"/><Relationship Id="rId14" Type="http://purl.oclc.org/ooxml/officeDocument/relationships/hyperlink" Target="https://de.wikipedia.org/wiki/Bundesgrenzschutz" TargetMode="External"/><Relationship Id="rId22" Type="http://purl.oclc.org/ooxml/officeDocument/relationships/hyperlink" Target="https://de.wikipedia.org/wiki/Schifffahrtszeichen" TargetMode="External"/></Relationships>
</file>

<file path=xl/worksheets/_rels/sheet7.xml.rels><?xml version="1.0" encoding="UTF-8" standalone="yes"?>
<Relationships xmlns="http://schemas.openxmlformats.org/package/2006/relationships"><Relationship Id="rId8" Type="http://purl.oclc.org/ooxml/officeDocument/relationships/hyperlink" Target="https://de.wikipedia.org/wiki/RAL-Farbe" TargetMode="External"/><Relationship Id="rId3" Type="http://purl.oclc.org/ooxml/officeDocument/relationships/hyperlink" Target="https://de.wikipedia.org/wiki/Deutsche_Marine" TargetMode="External"/><Relationship Id="rId7" Type="http://purl.oclc.org/ooxml/officeDocument/relationships/hyperlink" Target="https://de.wikipedia.org/wiki/RAL-Farbe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RAL-Farbe" TargetMode="External"/><Relationship Id="rId5" Type="http://purl.oclc.org/ooxml/officeDocument/relationships/hyperlink" Target="https://de.wikipedia.org/wiki/RAL-Farbe" TargetMode="External"/><Relationship Id="rId10" Type="http://purl.oclc.org/ooxml/officeDocument/relationships/hyperlink" Target="https://de.wikipedia.org/w/index.php?title=DIN_1843&amp;action=edit&amp;redlink=1" TargetMode="External"/><Relationship Id="rId4" Type="http://purl.oclc.org/ooxml/officeDocument/relationships/hyperlink" Target="https://de.wikipedia.org/wiki/Silbergrau" TargetMode="External"/><Relationship Id="rId9" Type="http://purl.oclc.org/ooxml/officeDocument/relationships/hyperlink" Target="https://de.wikipedia.org/wiki/RAL-Farbe" TargetMode="External"/></Relationships>
</file>

<file path=xl/worksheets/_rels/sheet8.xml.rels><?xml version="1.0" encoding="UTF-8" standalone="yes"?>
<Relationships xmlns="http://schemas.openxmlformats.org/package/2006/relationships"><Relationship Id="rId8" Type="http://purl.oclc.org/ooxml/officeDocument/relationships/hyperlink" Target="https://de.wikipedia.org/wiki/RAL-Farbe" TargetMode="External"/><Relationship Id="rId3" Type="http://purl.oclc.org/ooxml/officeDocument/relationships/hyperlink" Target="https://de.wikipedia.org/wiki/RAL-Farbe" TargetMode="External"/><Relationship Id="rId7" Type="http://purl.oclc.org/ooxml/officeDocument/relationships/hyperlink" Target="https://de.wikipedia.org/wiki/Sepia_(Farbstoff)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Relationship Id="rId6" Type="http://purl.oclc.org/ooxml/officeDocument/relationships/hyperlink" Target="https://de.wikipedia.org/wiki/RAL-Farbe" TargetMode="External"/><Relationship Id="rId5" Type="http://purl.oclc.org/ooxml/officeDocument/relationships/hyperlink" Target="https://de.wikipedia.org/wiki/RAL-Farbe" TargetMode="External"/><Relationship Id="rId10" Type="http://purl.oclc.org/ooxml/officeDocument/relationships/hyperlink" Target="https://de.wikipedia.org/wiki/RAL-Farbe" TargetMode="External"/><Relationship Id="rId4" Type="http://purl.oclc.org/ooxml/officeDocument/relationships/hyperlink" Target="https://de.wikipedia.org/wiki/RAL-Farbe" TargetMode="External"/><Relationship Id="rId9" Type="http://purl.oclc.org/ooxml/officeDocument/relationships/hyperlink" Target="https://de.wikipedia.org/wiki/Mahagoni" TargetMode="External"/></Relationships>
</file>

<file path=xl/worksheets/_rels/sheet9.xml.rels><?xml version="1.0" encoding="UTF-8" standalone="yes"?>
<Relationships xmlns="http://schemas.openxmlformats.org/package/2006/relationships"><Relationship Id="rId3" Type="http://purl.oclc.org/ooxml/officeDocument/relationships/hyperlink" Target="https://de.wikipedia.org/wiki/RAL-Farbe" TargetMode="External"/><Relationship Id="rId2" Type="http://purl.oclc.org/ooxml/officeDocument/relationships/hyperlink" Target="https://de.wikipedia.org/wiki/Lab-Farbraum" TargetMode="External"/><Relationship Id="rId1" Type="http://purl.oclc.org/ooxml/officeDocument/relationships/hyperlink" Target="https://de.wikipedia.org/wiki/RAL-Farbe" TargetMode="External"/><Relationship Id="rId5" Type="http://purl.oclc.org/ooxml/officeDocument/relationships/hyperlink" Target="https://de.wikipedia.org/wiki/RAL-Farbe" TargetMode="External"/><Relationship Id="rId4" Type="http://purl.oclc.org/ooxml/officeDocument/relationships/hyperlink" Target="https://de.wikipedia.org/wiki/RAL-Farbe" TargetMode="External"/></Relationships>
</file>

<file path=xl/worksheets/_rels/sheet10.xml.rels><?xml version="1.0" encoding="UTF-8" standalone="yes"?>
<Relationships xmlns="http://schemas.openxmlformats.org/package/2006/relationships"><Relationship Id="rId3" Type="http://purl.oclc.org/ooxml/officeDocument/relationships/hyperlink" Target="https://de.wikipedia.org/wiki/Lab-Farbraum" TargetMode="External"/><Relationship Id="rId2" Type="http://purl.oclc.org/ooxml/officeDocument/relationships/hyperlink" Target="https://de.wikipedia.org/wiki/Flecktarn_(Bundeswehr)" TargetMode="External"/><Relationship Id="rId1" Type="http://purl.oclc.org/ooxml/officeDocument/relationships/hyperlink" Target="https://de.wikipedia.org/wiki/RAL-Farbe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C35"/>
  <sheetViews>
    <sheetView workbookViewId="0"/>
  </sheetViews>
  <sheetFormatPr baseColWidth="10" defaultRowHeight="15" x14ac:dyDescent="0.25"/>
  <cols>
    <col min="1" max="1" width="11.42578125" customWidth="1"/>
    <col min="2" max="2" width="18.7109375" customWidth="1"/>
    <col min="3" max="3" width="15.7109375" customWidth="1"/>
    <col min="4" max="4" width="10.85546875" bestFit="1" customWidth="1"/>
    <col min="5" max="5" width="23" bestFit="1" customWidth="1"/>
    <col min="6" max="6" width="2" bestFit="1" customWidth="1"/>
    <col min="7" max="7" width="12.28515625" bestFit="1" customWidth="1"/>
    <col min="8" max="8" width="5.7109375" customWidth="1"/>
    <col min="9" max="9" width="53.140625" bestFit="1" customWidth="1"/>
    <col min="10" max="10" width="41.85546875" bestFit="1" customWidth="1"/>
    <col min="11" max="11" width="38.7109375" bestFit="1" customWidth="1"/>
    <col min="12" max="12" width="35.5703125" bestFit="1" customWidth="1"/>
    <col min="13" max="13" width="136.42578125" bestFit="1" customWidth="1"/>
    <col min="27" max="28" width="12.28515625" bestFit="1" customWidth="1"/>
    <col min="29" max="29" width="189.28515625" customWidth="1"/>
  </cols>
  <sheetData>
    <row r="1" spans="1:29" ht="18" x14ac:dyDescent="0.25">
      <c r="A1" s="2" t="s">
        <v>0</v>
      </c>
      <c r="Z1" s="234" t="s">
        <v>341</v>
      </c>
      <c r="AA1" s="234" t="s">
        <v>342</v>
      </c>
      <c r="AB1" s="234" t="s">
        <v>343</v>
      </c>
    </row>
    <row r="2" spans="1:29" x14ac:dyDescent="0.25">
      <c r="Z2" s="234">
        <v>96.72</v>
      </c>
      <c r="AA2" s="234">
        <v>100</v>
      </c>
      <c r="AB2" s="234">
        <v>81.427000000000007</v>
      </c>
    </row>
    <row r="3" spans="1:29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4" t="s">
        <v>323</v>
      </c>
      <c r="R3" s="4" t="s">
        <v>324</v>
      </c>
      <c r="S3" s="4" t="s">
        <v>325</v>
      </c>
      <c r="T3" s="4" t="s">
        <v>323</v>
      </c>
      <c r="U3" s="4" t="s">
        <v>324</v>
      </c>
      <c r="V3" s="4" t="s">
        <v>325</v>
      </c>
      <c r="W3" s="4" t="s">
        <v>326</v>
      </c>
      <c r="X3" s="4" t="s">
        <v>327</v>
      </c>
      <c r="Y3" s="4" t="s">
        <v>328</v>
      </c>
      <c r="Z3" s="4" t="s">
        <v>329</v>
      </c>
      <c r="AA3" s="4" t="s">
        <v>330</v>
      </c>
      <c r="AB3" s="4" t="s">
        <v>331</v>
      </c>
      <c r="AC3" s="3" t="s">
        <v>5</v>
      </c>
    </row>
    <row r="4" spans="1:29" ht="15" customHeight="1" x14ac:dyDescent="0.25">
      <c r="A4" s="3">
        <v>1000</v>
      </c>
      <c r="B4" s="5" t="s">
        <v>6</v>
      </c>
      <c r="C4" s="6"/>
      <c r="D4" t="s">
        <v>346</v>
      </c>
      <c r="E4" s="5" t="str">
        <f>"RAL"  &amp; "_" &amp; A4 &amp; "_" &amp; B4</f>
        <v>RAL_1000_Grünbeige</v>
      </c>
      <c r="F4" s="237" t="s">
        <v>574</v>
      </c>
      <c r="G4" s="5" t="str">
        <f>D4 &amp; "&amp;"</f>
        <v>&amp;H88BACD&amp;</v>
      </c>
      <c r="H4" s="5">
        <f>LEN(E4)</f>
        <v>18</v>
      </c>
      <c r="I4" s="238" t="str">
        <f>"Case " &amp; "RAL" &amp; "_" &amp; A4 &amp;"_"&amp;B4&amp;": "&amp;REPT(" ",25-LEN(E4))&amp;"s = """&amp;B4&amp;""""</f>
        <v>Case RAL_1000_Grünbeige:        s = "Grünbeige"</v>
      </c>
      <c r="J4" s="238" t="str">
        <f>"Case " &amp; "RAL" &amp; "_" &amp; A4 &amp;"_"&amp;B4&amp;": "&amp;REPT(" ",25-H4) &amp; "n = " &amp; A4</f>
        <v>Case RAL_1000_Grünbeige:        n = 1000</v>
      </c>
      <c r="K4" s="238" t="str">
        <f>"Case " &amp; A4 &amp; ": c = " &amp; E4</f>
        <v>Case 1000: c = RAL_1000_Grünbeige</v>
      </c>
      <c r="L4" s="238" t="str">
        <f xml:space="preserve"> "MColor.CIELab(" &amp; SUBSTITUTE(N4, ",", ".") &amp; ", " &amp; SUBSTITUTE(O4, ",", ".") &amp; ", " &amp; SUBSTITUTE(P4, ",", ".") &amp; ")"</f>
        <v>MColor.CIELab(80, 1, 24)</v>
      </c>
      <c r="M4" s="238" t="str">
        <f>"m_Arr(i) = TNamedRALColor(""" &amp; B4 &amp; """, " &amp; A4 &amp; ", RALClassic." &amp; E4 &amp; ", " &amp; L4 &amp; "): " &amp; REPT(" ", (80-LEN(L4))-2*H4) &amp; "i = i + 1"</f>
        <v>m_Arr(i) = TNamedRALColor("Grünbeige", 1000, RALClassic.RAL_1000_Grünbeige, MColor.CIELab(80, 1, 24)):                     i = i + 1</v>
      </c>
      <c r="N4" s="7">
        <v>80</v>
      </c>
      <c r="O4" s="7">
        <v>1</v>
      </c>
      <c r="P4" s="7">
        <v>24</v>
      </c>
      <c r="Q4" s="7">
        <v>205</v>
      </c>
      <c r="R4" s="7">
        <v>186</v>
      </c>
      <c r="S4" s="7">
        <v>136</v>
      </c>
      <c r="T4" s="7">
        <f>Q4/255</f>
        <v>0.80392156862745101</v>
      </c>
      <c r="U4" s="7">
        <f t="shared" ref="U4:V4" si="0">R4/255</f>
        <v>0.72941176470588232</v>
      </c>
      <c r="V4" s="7">
        <f t="shared" si="0"/>
        <v>0.53333333333333333</v>
      </c>
      <c r="W4" s="236">
        <v>0.4718</v>
      </c>
      <c r="X4" s="236">
        <v>0.49875999999999998</v>
      </c>
      <c r="Y4" s="236">
        <v>0.30429</v>
      </c>
      <c r="Z4" s="235">
        <f xml:space="preserve"> 116 * (X4 / AA$2)^(1/3) - 16</f>
        <v>3.8193098781069814</v>
      </c>
      <c r="AA4" s="235">
        <f xml:space="preserve"> 500 * ((W4 / Z$2)^(1/3) - (X4 / AA$2)^(1/3))</f>
        <v>-0.63039606800735504</v>
      </c>
      <c r="AB4" s="235">
        <f t="shared" ref="AB4:AB10" si="1" xml:space="preserve"> 200 * ((X4 / AA$2)^(1/3) - (Y4 / AB$2)^(1/3))</f>
        <v>3.1349379992194724</v>
      </c>
      <c r="AC4" s="8" t="s">
        <v>7</v>
      </c>
    </row>
    <row r="5" spans="1:29" ht="15" customHeight="1" x14ac:dyDescent="0.25">
      <c r="A5" s="3">
        <v>1001</v>
      </c>
      <c r="B5" s="8" t="s">
        <v>8</v>
      </c>
      <c r="C5" s="9"/>
      <c r="D5" t="s">
        <v>347</v>
      </c>
      <c r="E5" s="5" t="str">
        <f t="shared" ref="E5:E33" si="2">"RAL"  &amp; "_" &amp; A5 &amp; "_" &amp; B5</f>
        <v>RAL_1001_Beige</v>
      </c>
      <c r="F5" s="237" t="s">
        <v>574</v>
      </c>
      <c r="G5" s="5" t="str">
        <f t="shared" ref="G5:G33" si="3">D5 &amp; "&amp;"</f>
        <v>&amp;H84B0D0&amp;</v>
      </c>
      <c r="H5" s="5">
        <f t="shared" ref="H5:H33" si="4">LEN(E5)</f>
        <v>14</v>
      </c>
      <c r="I5" s="238" t="str">
        <f t="shared" ref="I5:I33" si="5">"Case " &amp; "RAL" &amp; "_" &amp; A5 &amp;"_"&amp;B5&amp;": "&amp;REPT(" ",25-LEN(E5))&amp;"s = """&amp;B5&amp;""""</f>
        <v>Case RAL_1001_Beige:            s = "Beige"</v>
      </c>
      <c r="J5" s="238" t="str">
        <f t="shared" ref="J5:J33" si="6">"Case " &amp; "RAL" &amp; "_" &amp; A5 &amp;"_"&amp;B5&amp;": "&amp;REPT(" ",25-H5) &amp; "n = " &amp; A5</f>
        <v>Case RAL_1001_Beige:            n = 1001</v>
      </c>
      <c r="K5" s="238" t="str">
        <f t="shared" ref="K5:K33" si="7">"Case " &amp; A5 &amp; ": c = " &amp; E5</f>
        <v>Case 1001: c = RAL_1001_Beige</v>
      </c>
      <c r="L5" s="238" t="str">
        <f t="shared" ref="L5:L33" si="8" xml:space="preserve"> "MColor.CIELab(" &amp; SUBSTITUTE(N5, ",", ".") &amp; ", " &amp; SUBSTITUTE(O5, ",", ".") &amp; ", " &amp; SUBSTITUTE(P5, ",", ".") &amp; ")"</f>
        <v>MColor.CIELab(78, 6, 23)</v>
      </c>
      <c r="M5" s="238" t="str">
        <f t="shared" ref="M5:M33" si="9">"m_Arr(i) = TNamedRALColor(""" &amp; B5 &amp; """, " &amp; A5 &amp; ", RALClassic." &amp; E5 &amp; ", " &amp; L5 &amp; "): " &amp; REPT(" ", (80-LEN(L5))-2*H5) &amp; "i = i + 1"</f>
        <v>m_Arr(i) = TNamedRALColor("Beige", 1001, RALClassic.RAL_1001_Beige, MColor.CIELab(78, 6, 23)):                             i = i + 1</v>
      </c>
      <c r="N5" s="7">
        <v>78</v>
      </c>
      <c r="O5" s="7">
        <v>6</v>
      </c>
      <c r="P5" s="7">
        <v>23</v>
      </c>
      <c r="Q5" s="7">
        <v>208</v>
      </c>
      <c r="R5" s="7">
        <v>176</v>
      </c>
      <c r="S5" s="7">
        <v>132</v>
      </c>
      <c r="T5" s="7">
        <f t="shared" ref="T5:T10" si="10">Q5/255</f>
        <v>0.81568627450980391</v>
      </c>
      <c r="U5" s="7">
        <f t="shared" ref="U5:U10" si="11">R5/255</f>
        <v>0.69019607843137254</v>
      </c>
      <c r="V5" s="7">
        <f t="shared" ref="V5:V10" si="12">S5/255</f>
        <v>0.51764705882352946</v>
      </c>
      <c r="W5" s="235">
        <f xml:space="preserve"> 0.4124564 * T5 + 0.3575761 * U5 + 0.1804375 * V5</f>
        <v>0.6766355874509804</v>
      </c>
      <c r="X5" s="235">
        <f t="shared" ref="X5:X10" si="13" xml:space="preserve"> 0.2126729 * T5 + 0.7151522 * U5 + 0.072175 * V5</f>
        <v>0.70443078588235297</v>
      </c>
      <c r="Y5" s="235">
        <f t="shared" ref="Y5:Y10" si="14" xml:space="preserve"> 0.0193339 * T5 + 0.119192 * U5 + 0.9503041 * V5</f>
        <v>0.58995837019607844</v>
      </c>
      <c r="Z5" s="235">
        <f t="shared" ref="Z5:Z10" si="15" xml:space="preserve"> 116 * (X5 / AA$2)^(1/3) - 16</f>
        <v>6.2367219246296699</v>
      </c>
      <c r="AA5" s="235">
        <f t="shared" ref="AA5:AA10" si="16" xml:space="preserve"> 500 * ((W5 / Z$2)^(1/3) - (X5 / AA$2)^(1/3))</f>
        <v>-0.22042799436088056</v>
      </c>
      <c r="AB5" s="235">
        <f t="shared" si="1"/>
        <v>-0.361122035003697</v>
      </c>
      <c r="AC5" s="8" t="s">
        <v>9</v>
      </c>
    </row>
    <row r="6" spans="1:29" ht="15" customHeight="1" x14ac:dyDescent="0.25">
      <c r="A6" s="3">
        <v>1002</v>
      </c>
      <c r="B6" s="5" t="s">
        <v>10</v>
      </c>
      <c r="C6" s="10"/>
      <c r="D6" t="s">
        <v>348</v>
      </c>
      <c r="E6" s="5" t="str">
        <f t="shared" si="2"/>
        <v>RAL_1002_Sandgelb</v>
      </c>
      <c r="F6" s="237" t="s">
        <v>574</v>
      </c>
      <c r="G6" s="5" t="str">
        <f t="shared" si="3"/>
        <v>&amp;H6DAAD2&amp;</v>
      </c>
      <c r="H6" s="5">
        <f t="shared" si="4"/>
        <v>17</v>
      </c>
      <c r="I6" s="238" t="str">
        <f t="shared" si="5"/>
        <v>Case RAL_1002_Sandgelb:         s = "Sandgelb"</v>
      </c>
      <c r="J6" s="238" t="str">
        <f t="shared" si="6"/>
        <v>Case RAL_1002_Sandgelb:         n = 1002</v>
      </c>
      <c r="K6" s="238" t="str">
        <f t="shared" si="7"/>
        <v>Case 1002: c = RAL_1002_Sandgelb</v>
      </c>
      <c r="L6" s="238" t="str">
        <f t="shared" si="8"/>
        <v>MColor.CIELab(77, 7, 33)</v>
      </c>
      <c r="M6" s="238" t="str">
        <f t="shared" si="9"/>
        <v>m_Arr(i) = TNamedRALColor("Sandgelb", 1002, RALClassic.RAL_1002_Sandgelb, MColor.CIELab(77, 7, 33)):                       i = i + 1</v>
      </c>
      <c r="N6" s="7">
        <v>77</v>
      </c>
      <c r="O6" s="7">
        <v>7</v>
      </c>
      <c r="P6" s="7">
        <v>33</v>
      </c>
      <c r="Q6" s="7">
        <v>210</v>
      </c>
      <c r="R6" s="7">
        <v>170</v>
      </c>
      <c r="S6" s="7">
        <v>109</v>
      </c>
      <c r="T6" s="7">
        <f t="shared" si="10"/>
        <v>0.82352941176470584</v>
      </c>
      <c r="U6" s="7">
        <f t="shared" si="11"/>
        <v>0.66666666666666663</v>
      </c>
      <c r="V6" s="7">
        <f t="shared" si="12"/>
        <v>0.42745098039215684</v>
      </c>
      <c r="W6" s="235">
        <f t="shared" ref="W6:W10" si="17" xml:space="preserve"> 0.4124564 * T6 + 0.3575761 * U6 + 0.1804375 * V6</f>
        <v>0.65518222941176474</v>
      </c>
      <c r="X6" s="235">
        <f t="shared" si="13"/>
        <v>0.68276179607843135</v>
      </c>
      <c r="Y6" s="235">
        <f t="shared" si="14"/>
        <v>0.50159178784313718</v>
      </c>
      <c r="Z6" s="235">
        <f t="shared" si="15"/>
        <v>6.006335341081293</v>
      </c>
      <c r="AA6" s="235">
        <f t="shared" si="16"/>
        <v>-0.24890876083458191</v>
      </c>
      <c r="AB6" s="235">
        <f t="shared" si="1"/>
        <v>1.2792959044300445</v>
      </c>
      <c r="AC6" s="8" t="s">
        <v>11</v>
      </c>
    </row>
    <row r="7" spans="1:29" ht="15" customHeight="1" x14ac:dyDescent="0.25">
      <c r="A7" s="3">
        <v>1003</v>
      </c>
      <c r="B7" s="8" t="s">
        <v>12</v>
      </c>
      <c r="C7" s="11"/>
      <c r="D7" t="s">
        <v>349</v>
      </c>
      <c r="E7" s="5" t="str">
        <f t="shared" si="2"/>
        <v>RAL_1003_Signalgelb</v>
      </c>
      <c r="F7" s="237" t="s">
        <v>574</v>
      </c>
      <c r="G7" s="5" t="str">
        <f t="shared" si="3"/>
        <v>&amp;HA8F9&amp;</v>
      </c>
      <c r="H7" s="5">
        <f t="shared" si="4"/>
        <v>19</v>
      </c>
      <c r="I7" s="238" t="str">
        <f t="shared" si="5"/>
        <v>Case RAL_1003_Signalgelb:       s = "Signalgelb"</v>
      </c>
      <c r="J7" s="238" t="str">
        <f t="shared" si="6"/>
        <v>Case RAL_1003_Signalgelb:       n = 1003</v>
      </c>
      <c r="K7" s="238" t="str">
        <f t="shared" si="7"/>
        <v>Case 1003: c = RAL_1003_Signalgelb</v>
      </c>
      <c r="L7" s="238" t="str">
        <f t="shared" si="8"/>
        <v>MColor.CIELab(79, 17, 79)</v>
      </c>
      <c r="M7" s="238" t="str">
        <f t="shared" si="9"/>
        <v>m_Arr(i) = TNamedRALColor("Signalgelb", 1003, RALClassic.RAL_1003_Signalgelb, MColor.CIELab(79, 17, 79)):                  i = i + 1</v>
      </c>
      <c r="N7" s="7">
        <v>79</v>
      </c>
      <c r="O7" s="7">
        <v>17</v>
      </c>
      <c r="P7" s="7">
        <v>79</v>
      </c>
      <c r="Q7" s="7">
        <v>249</v>
      </c>
      <c r="R7" s="7">
        <v>186</v>
      </c>
      <c r="S7" s="7">
        <v>0</v>
      </c>
      <c r="T7" s="7">
        <f t="shared" si="10"/>
        <v>0.97647058823529409</v>
      </c>
      <c r="U7" s="7">
        <f t="shared" si="11"/>
        <v>0.72941176470588232</v>
      </c>
      <c r="V7" s="7">
        <f t="shared" si="12"/>
        <v>0</v>
      </c>
      <c r="W7" s="235">
        <f t="shared" si="17"/>
        <v>0.66357175764705878</v>
      </c>
      <c r="X7" s="235">
        <f t="shared" si="13"/>
        <v>0.72930925999999996</v>
      </c>
      <c r="Y7" s="235">
        <f t="shared" si="14"/>
        <v>0.10581903176470589</v>
      </c>
      <c r="Z7" s="235">
        <f t="shared" si="15"/>
        <v>6.4954783124148783</v>
      </c>
      <c r="AA7" s="235">
        <f t="shared" si="16"/>
        <v>-1.9551890237571035</v>
      </c>
      <c r="AB7" s="235">
        <f t="shared" si="1"/>
        <v>16.959929206526102</v>
      </c>
      <c r="AC7" s="5" t="s">
        <v>13</v>
      </c>
    </row>
    <row r="8" spans="1:29" ht="15" customHeight="1" x14ac:dyDescent="0.25">
      <c r="A8" s="3">
        <v>1004</v>
      </c>
      <c r="B8" s="8" t="s">
        <v>14</v>
      </c>
      <c r="C8" s="12"/>
      <c r="D8" t="s">
        <v>350</v>
      </c>
      <c r="E8" s="5" t="str">
        <f t="shared" si="2"/>
        <v>RAL_1004_Goldgelb</v>
      </c>
      <c r="F8" s="237" t="s">
        <v>574</v>
      </c>
      <c r="G8" s="5" t="str">
        <f t="shared" si="3"/>
        <v>&amp;H7B0E2&amp;</v>
      </c>
      <c r="H8" s="5">
        <f t="shared" si="4"/>
        <v>17</v>
      </c>
      <c r="I8" s="238" t="str">
        <f t="shared" si="5"/>
        <v>Case RAL_1004_Goldgelb:         s = "Goldgelb"</v>
      </c>
      <c r="J8" s="238" t="str">
        <f t="shared" si="6"/>
        <v>Case RAL_1004_Goldgelb:         n = 1004</v>
      </c>
      <c r="K8" s="238" t="str">
        <f t="shared" si="7"/>
        <v>Case 1004: c = RAL_1004_Goldgelb</v>
      </c>
      <c r="L8" s="238" t="str">
        <f t="shared" si="8"/>
        <v>MColor.CIELab(71.42, 15.28, 69.28)</v>
      </c>
      <c r="M8" s="238" t="str">
        <f t="shared" si="9"/>
        <v>m_Arr(i) = TNamedRALColor("Goldgelb", 1004, RALClassic.RAL_1004_Goldgelb, MColor.CIELab(71.42, 15.28, 69.28)):             i = i + 1</v>
      </c>
      <c r="N8" s="7">
        <v>71.42</v>
      </c>
      <c r="O8" s="7">
        <v>15.28</v>
      </c>
      <c r="P8" s="7">
        <v>69.28</v>
      </c>
      <c r="Q8" s="7">
        <v>226</v>
      </c>
      <c r="R8" s="7">
        <v>176</v>
      </c>
      <c r="S8" s="7">
        <v>7</v>
      </c>
      <c r="T8" s="7">
        <f t="shared" si="10"/>
        <v>0.88627450980392153</v>
      </c>
      <c r="U8" s="7">
        <f t="shared" si="11"/>
        <v>0.69019607843137254</v>
      </c>
      <c r="V8" s="7">
        <f t="shared" si="12"/>
        <v>2.7450980392156862E-2</v>
      </c>
      <c r="W8" s="235">
        <f t="shared" si="17"/>
        <v>0.61730040196078428</v>
      </c>
      <c r="X8" s="235">
        <f t="shared" si="13"/>
        <v>0.68406308862745091</v>
      </c>
      <c r="Y8" s="235">
        <f t="shared" si="14"/>
        <v>0.12548777294117647</v>
      </c>
      <c r="Z8" s="235">
        <f t="shared" si="15"/>
        <v>6.0203072741409365</v>
      </c>
      <c r="AA8" s="235">
        <f t="shared" si="16"/>
        <v>-2.1687815441113893</v>
      </c>
      <c r="AB8" s="235">
        <f t="shared" si="1"/>
        <v>14.864504032995784</v>
      </c>
      <c r="AC8" s="5" t="s">
        <v>15</v>
      </c>
    </row>
    <row r="9" spans="1:29" ht="15" customHeight="1" x14ac:dyDescent="0.25">
      <c r="A9" s="3">
        <v>1005</v>
      </c>
      <c r="B9" s="5" t="s">
        <v>16</v>
      </c>
      <c r="C9" s="13"/>
      <c r="D9" t="s">
        <v>351</v>
      </c>
      <c r="E9" s="5" t="str">
        <f t="shared" si="2"/>
        <v>RAL_1005_Honiggelb</v>
      </c>
      <c r="F9" s="237" t="s">
        <v>574</v>
      </c>
      <c r="G9" s="5" t="str">
        <f t="shared" si="3"/>
        <v>&amp;H8ECB&amp;</v>
      </c>
      <c r="H9" s="5">
        <f t="shared" si="4"/>
        <v>18</v>
      </c>
      <c r="I9" s="238" t="str">
        <f t="shared" si="5"/>
        <v>Case RAL_1005_Honiggelb:        s = "Honiggelb"</v>
      </c>
      <c r="J9" s="238" t="str">
        <f t="shared" si="6"/>
        <v>Case RAL_1005_Honiggelb:        n = 1005</v>
      </c>
      <c r="K9" s="238" t="str">
        <f t="shared" si="7"/>
        <v>Case 1005: c = RAL_1005_Honiggelb</v>
      </c>
      <c r="L9" s="238" t="str">
        <f t="shared" si="8"/>
        <v>MColor.CIELab(69, 13, 70)</v>
      </c>
      <c r="M9" s="238" t="str">
        <f t="shared" si="9"/>
        <v>m_Arr(i) = TNamedRALColor("Honiggelb", 1005, RALClassic.RAL_1005_Honiggelb, MColor.CIELab(69, 13, 70)):                    i = i + 1</v>
      </c>
      <c r="N9" s="7">
        <v>69</v>
      </c>
      <c r="O9" s="7">
        <v>13</v>
      </c>
      <c r="P9" s="7">
        <v>70</v>
      </c>
      <c r="Q9" s="7">
        <v>203</v>
      </c>
      <c r="R9" s="7">
        <v>142</v>
      </c>
      <c r="S9" s="7">
        <v>0</v>
      </c>
      <c r="T9" s="7">
        <f t="shared" si="10"/>
        <v>0.79607843137254897</v>
      </c>
      <c r="U9" s="7">
        <f t="shared" si="11"/>
        <v>0.55686274509803924</v>
      </c>
      <c r="V9" s="7">
        <f t="shared" si="12"/>
        <v>0</v>
      </c>
      <c r="W9" s="235">
        <f t="shared" si="17"/>
        <v>0.52746845254901964</v>
      </c>
      <c r="X9" s="235">
        <f t="shared" si="13"/>
        <v>0.56754592588235298</v>
      </c>
      <c r="Y9" s="235">
        <f t="shared" si="14"/>
        <v>8.1764885098039211E-2</v>
      </c>
      <c r="Z9" s="235">
        <f t="shared" si="15"/>
        <v>4.6914849457756205</v>
      </c>
      <c r="AA9" s="235">
        <f t="shared" si="16"/>
        <v>-1.1778301346437177</v>
      </c>
      <c r="AB9" s="235">
        <f t="shared" si="1"/>
        <v>15.647348579025163</v>
      </c>
      <c r="AC9" s="8" t="s">
        <v>17</v>
      </c>
    </row>
    <row r="10" spans="1:29" ht="15" customHeight="1" x14ac:dyDescent="0.25">
      <c r="A10" s="3">
        <v>1006</v>
      </c>
      <c r="B10" s="5" t="s">
        <v>18</v>
      </c>
      <c r="C10" s="14"/>
      <c r="D10" t="s">
        <v>352</v>
      </c>
      <c r="E10" s="5" t="str">
        <f t="shared" si="2"/>
        <v>RAL_1006_Maisgelb</v>
      </c>
      <c r="F10" s="237" t="s">
        <v>574</v>
      </c>
      <c r="G10" s="5" t="str">
        <f t="shared" si="3"/>
        <v>&amp;H90E2&amp;</v>
      </c>
      <c r="H10" s="5">
        <f t="shared" si="4"/>
        <v>17</v>
      </c>
      <c r="I10" s="238" t="str">
        <f t="shared" si="5"/>
        <v>Case RAL_1006_Maisgelb:         s = "Maisgelb"</v>
      </c>
      <c r="J10" s="238" t="str">
        <f t="shared" si="6"/>
        <v>Case RAL_1006_Maisgelb:         n = 1006</v>
      </c>
      <c r="K10" s="238" t="str">
        <f t="shared" si="7"/>
        <v>Case 1006: c = RAL_1006_Maisgelb</v>
      </c>
      <c r="L10" s="238" t="str">
        <f t="shared" si="8"/>
        <v>MColor.CIELab(72, 20, 74)</v>
      </c>
      <c r="M10" s="238" t="str">
        <f t="shared" si="9"/>
        <v>m_Arr(i) = TNamedRALColor("Maisgelb", 1006, RALClassic.RAL_1006_Maisgelb, MColor.CIELab(72, 20, 74)):                      i = i + 1</v>
      </c>
      <c r="N10" s="7">
        <v>72</v>
      </c>
      <c r="O10" s="7">
        <v>20</v>
      </c>
      <c r="P10" s="7">
        <v>74</v>
      </c>
      <c r="Q10" s="7">
        <v>226</v>
      </c>
      <c r="R10" s="7">
        <v>144</v>
      </c>
      <c r="S10" s="7">
        <v>0</v>
      </c>
      <c r="T10" s="7">
        <f t="shared" si="10"/>
        <v>0.88627450980392153</v>
      </c>
      <c r="U10" s="7">
        <f t="shared" si="11"/>
        <v>0.56470588235294117</v>
      </c>
      <c r="V10" s="7">
        <f t="shared" si="12"/>
        <v>0</v>
      </c>
      <c r="W10" s="235">
        <f t="shared" si="17"/>
        <v>0.56747492078431372</v>
      </c>
      <c r="X10" s="235">
        <f t="shared" si="13"/>
        <v>0.59233722431372549</v>
      </c>
      <c r="Y10" s="235">
        <f t="shared" si="14"/>
        <v>8.4443566274509801E-2</v>
      </c>
      <c r="Z10" s="235">
        <f t="shared" si="15"/>
        <v>4.9884804854891023</v>
      </c>
      <c r="AA10" s="235">
        <f t="shared" si="16"/>
        <v>-0.28691654837698088</v>
      </c>
      <c r="AB10" s="235">
        <f t="shared" si="1"/>
        <v>15.943048790335324</v>
      </c>
      <c r="AC10" s="8" t="s">
        <v>19</v>
      </c>
    </row>
    <row r="11" spans="1:29" ht="15" customHeight="1" x14ac:dyDescent="0.25">
      <c r="A11" s="3">
        <v>1007</v>
      </c>
      <c r="B11" s="8" t="s">
        <v>20</v>
      </c>
      <c r="C11" s="231"/>
      <c r="D11" t="s">
        <v>353</v>
      </c>
      <c r="E11" s="5" t="str">
        <f t="shared" si="2"/>
        <v>RAL_1007_Narzissengelb</v>
      </c>
      <c r="F11" s="237" t="s">
        <v>574</v>
      </c>
      <c r="G11" s="5" t="str">
        <f t="shared" si="3"/>
        <v>&amp;H8CE8&amp;</v>
      </c>
      <c r="H11" s="5">
        <f t="shared" si="4"/>
        <v>22</v>
      </c>
      <c r="I11" s="238" t="str">
        <f t="shared" si="5"/>
        <v>Case RAL_1007_Narzissengelb:    s = "Narzissengelb"</v>
      </c>
      <c r="J11" s="238" t="str">
        <f t="shared" si="6"/>
        <v>Case RAL_1007_Narzissengelb:    n = 1007</v>
      </c>
      <c r="K11" s="238" t="str">
        <f t="shared" si="7"/>
        <v>Case 1007: c = RAL_1007_Narzissengelb</v>
      </c>
      <c r="L11" s="238" t="str">
        <f t="shared" si="8"/>
        <v>MColor.CIELab(72, 24, 74)</v>
      </c>
      <c r="M11" s="238" t="str">
        <f t="shared" si="9"/>
        <v>m_Arr(i) = TNamedRALColor("Narzissengelb", 1007, RALClassic.RAL_1007_Narzissengelb, MColor.CIELab(72, 24, 74)):            i = i + 1</v>
      </c>
      <c r="N11" s="7">
        <v>72</v>
      </c>
      <c r="O11" s="7">
        <v>24</v>
      </c>
      <c r="P11" s="7">
        <v>74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" t="s">
        <v>344</v>
      </c>
    </row>
    <row r="12" spans="1:29" ht="15" customHeight="1" x14ac:dyDescent="0.25">
      <c r="A12" s="3">
        <v>1011</v>
      </c>
      <c r="B12" s="5" t="s">
        <v>21</v>
      </c>
      <c r="C12" s="15"/>
      <c r="D12" t="s">
        <v>354</v>
      </c>
      <c r="E12" s="5" t="str">
        <f t="shared" si="2"/>
        <v>RAL_1011_Braunbeige</v>
      </c>
      <c r="F12" s="237" t="s">
        <v>574</v>
      </c>
      <c r="G12" s="5" t="str">
        <f t="shared" si="3"/>
        <v>&amp;H548AAF&amp;</v>
      </c>
      <c r="H12" s="5">
        <f t="shared" si="4"/>
        <v>19</v>
      </c>
      <c r="I12" s="238" t="str">
        <f t="shared" si="5"/>
        <v>Case RAL_1011_Braunbeige:       s = "Braunbeige"</v>
      </c>
      <c r="J12" s="238" t="str">
        <f t="shared" si="6"/>
        <v>Case RAL_1011_Braunbeige:       n = 1011</v>
      </c>
      <c r="K12" s="238" t="str">
        <f t="shared" si="7"/>
        <v>Case 1011: c = RAL_1011_Braunbeige</v>
      </c>
      <c r="L12" s="238" t="str">
        <f t="shared" si="8"/>
        <v>MColor.CIELab(59.92, 11.35, 29.17)</v>
      </c>
      <c r="M12" s="238" t="str">
        <f t="shared" si="9"/>
        <v>m_Arr(i) = TNamedRALColor("Braunbeige", 1011, RALClassic.RAL_1011_Braunbeige, MColor.CIELab(59.92, 11.35, 29.17)):         i = i + 1</v>
      </c>
      <c r="N12" s="7">
        <v>59.92</v>
      </c>
      <c r="O12" s="7">
        <v>11.35</v>
      </c>
      <c r="P12" s="7">
        <v>29.17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5"/>
    </row>
    <row r="13" spans="1:29" ht="15" customHeight="1" x14ac:dyDescent="0.25">
      <c r="A13" s="3">
        <v>1012</v>
      </c>
      <c r="B13" s="8" t="s">
        <v>22</v>
      </c>
      <c r="C13" s="16"/>
      <c r="D13" t="s">
        <v>355</v>
      </c>
      <c r="E13" s="5" t="str">
        <f t="shared" si="2"/>
        <v>RAL_1012_Zitronengelb</v>
      </c>
      <c r="F13" s="237" t="s">
        <v>574</v>
      </c>
      <c r="G13" s="5" t="str">
        <f t="shared" si="3"/>
        <v>&amp;H22C0D9&amp;</v>
      </c>
      <c r="H13" s="5">
        <f t="shared" si="4"/>
        <v>21</v>
      </c>
      <c r="I13" s="238" t="str">
        <f t="shared" si="5"/>
        <v>Case RAL_1012_Zitronengelb:     s = "Zitronengelb"</v>
      </c>
      <c r="J13" s="238" t="str">
        <f t="shared" si="6"/>
        <v>Case RAL_1012_Zitronengelb:     n = 1012</v>
      </c>
      <c r="K13" s="238" t="str">
        <f t="shared" si="7"/>
        <v>Case 1012: c = RAL_1012_Zitronengelb</v>
      </c>
      <c r="L13" s="238" t="str">
        <f t="shared" si="8"/>
        <v>MColor.CIELab(75.04, 4.64, 61.31)</v>
      </c>
      <c r="M13" s="238" t="str">
        <f t="shared" si="9"/>
        <v>m_Arr(i) = TNamedRALColor("Zitronengelb", 1012, RALClassic.RAL_1012_Zitronengelb, MColor.CIELab(75.04, 4.64, 61.31)):      i = i + 1</v>
      </c>
      <c r="N13" s="7">
        <v>75.040000000000006</v>
      </c>
      <c r="O13" s="7">
        <v>4.6399999999999997</v>
      </c>
      <c r="P13" s="7">
        <v>61.31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5"/>
    </row>
    <row r="14" spans="1:29" ht="15" customHeight="1" x14ac:dyDescent="0.25">
      <c r="A14" s="3">
        <v>1013</v>
      </c>
      <c r="B14" s="5" t="s">
        <v>23</v>
      </c>
      <c r="C14" s="17"/>
      <c r="D14" t="s">
        <v>356</v>
      </c>
      <c r="E14" s="5" t="str">
        <f t="shared" si="2"/>
        <v>RAL_1013_Perlweiß</v>
      </c>
      <c r="F14" s="237" t="s">
        <v>574</v>
      </c>
      <c r="G14" s="5" t="str">
        <f t="shared" si="3"/>
        <v>&amp;HC6D9E3&amp;</v>
      </c>
      <c r="H14" s="5">
        <f t="shared" si="4"/>
        <v>17</v>
      </c>
      <c r="I14" s="238" t="str">
        <f t="shared" si="5"/>
        <v>Case RAL_1013_Perlweiß:         s = "Perlweiß"</v>
      </c>
      <c r="J14" s="238" t="str">
        <f t="shared" si="6"/>
        <v>Case RAL_1013_Perlweiß:         n = 1013</v>
      </c>
      <c r="K14" s="238" t="str">
        <f t="shared" si="7"/>
        <v>Case 1013: c = RAL_1013_Perlweiß</v>
      </c>
      <c r="L14" s="238" t="str">
        <f t="shared" si="8"/>
        <v>MColor.CIELab(90, 1, 9)</v>
      </c>
      <c r="M14" s="238" t="str">
        <f t="shared" si="9"/>
        <v>m_Arr(i) = TNamedRALColor("Perlweiß", 1013, RALClassic.RAL_1013_Perlweiß, MColor.CIELab(90, 1, 9)):                        i = i + 1</v>
      </c>
      <c r="N14" s="7">
        <v>90</v>
      </c>
      <c r="O14" s="7">
        <v>1</v>
      </c>
      <c r="P14" s="7">
        <v>9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" t="s">
        <v>24</v>
      </c>
    </row>
    <row r="15" spans="1:29" ht="15" customHeight="1" x14ac:dyDescent="0.25">
      <c r="A15" s="3">
        <v>1014</v>
      </c>
      <c r="B15" s="8" t="s">
        <v>25</v>
      </c>
      <c r="C15" s="18"/>
      <c r="D15" t="s">
        <v>357</v>
      </c>
      <c r="E15" s="5" t="str">
        <f t="shared" si="2"/>
        <v>RAL_1014_Elfenbein</v>
      </c>
      <c r="F15" s="237" t="s">
        <v>574</v>
      </c>
      <c r="G15" s="5" t="str">
        <f t="shared" si="3"/>
        <v>&amp;H9AC4DD&amp;</v>
      </c>
      <c r="H15" s="5">
        <f t="shared" si="4"/>
        <v>18</v>
      </c>
      <c r="I15" s="238" t="str">
        <f t="shared" si="5"/>
        <v>Case RAL_1014_Elfenbein:        s = "Elfenbein"</v>
      </c>
      <c r="J15" s="238" t="str">
        <f t="shared" si="6"/>
        <v>Case RAL_1014_Elfenbein:        n = 1014</v>
      </c>
      <c r="K15" s="238" t="str">
        <f t="shared" si="7"/>
        <v>Case 1014: c = RAL_1014_Elfenbein</v>
      </c>
      <c r="L15" s="238" t="str">
        <f t="shared" si="8"/>
        <v>MColor.CIELab(84, 4, 21)</v>
      </c>
      <c r="M15" s="238" t="str">
        <f t="shared" si="9"/>
        <v>m_Arr(i) = TNamedRALColor("Elfenbein", 1014, RALClassic.RAL_1014_Elfenbein, MColor.CIELab(84, 4, 21)):                     i = i + 1</v>
      </c>
      <c r="N15" s="7">
        <v>84</v>
      </c>
      <c r="O15" s="7">
        <v>4</v>
      </c>
      <c r="P15" s="7">
        <v>21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5" t="s">
        <v>26</v>
      </c>
    </row>
    <row r="16" spans="1:29" ht="15" customHeight="1" x14ac:dyDescent="0.25">
      <c r="A16" s="3">
        <v>1015</v>
      </c>
      <c r="B16" s="5" t="s">
        <v>27</v>
      </c>
      <c r="C16" s="19"/>
      <c r="D16" t="s">
        <v>358</v>
      </c>
      <c r="E16" s="5" t="str">
        <f t="shared" si="2"/>
        <v>RAL_1015_Hellelfenbein</v>
      </c>
      <c r="F16" s="237" t="s">
        <v>574</v>
      </c>
      <c r="G16" s="5" t="str">
        <f t="shared" si="3"/>
        <v>&amp;HB5D2E6&amp;</v>
      </c>
      <c r="H16" s="5">
        <f t="shared" si="4"/>
        <v>22</v>
      </c>
      <c r="I16" s="238" t="str">
        <f t="shared" si="5"/>
        <v>Case RAL_1015_Hellelfenbein:    s = "Hellelfenbein"</v>
      </c>
      <c r="J16" s="238" t="str">
        <f t="shared" si="6"/>
        <v>Case RAL_1015_Hellelfenbein:    n = 1015</v>
      </c>
      <c r="K16" s="238" t="str">
        <f t="shared" si="7"/>
        <v>Case 1015: c = RAL_1015_Hellelfenbein</v>
      </c>
      <c r="L16" s="238" t="str">
        <f t="shared" si="8"/>
        <v>MColor.CIELab(88, 3, 14)</v>
      </c>
      <c r="M16" s="238" t="str">
        <f t="shared" si="9"/>
        <v>m_Arr(i) = TNamedRALColor("Hellelfenbein", 1015, RALClassic.RAL_1015_Hellelfenbein, MColor.CIELab(88, 3, 14)):             i = i + 1</v>
      </c>
      <c r="N16" s="7">
        <v>88</v>
      </c>
      <c r="O16" s="7">
        <v>3</v>
      </c>
      <c r="P16" s="7">
        <v>14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 t="s">
        <v>28</v>
      </c>
    </row>
    <row r="17" spans="1:29" ht="15" customHeight="1" x14ac:dyDescent="0.25">
      <c r="A17" s="3">
        <v>1016</v>
      </c>
      <c r="B17" s="8" t="s">
        <v>29</v>
      </c>
      <c r="C17" s="20"/>
      <c r="D17" t="s">
        <v>359</v>
      </c>
      <c r="E17" s="5" t="str">
        <f t="shared" si="2"/>
        <v>RAL_1016_Schwefelgelb</v>
      </c>
      <c r="F17" s="237" t="s">
        <v>574</v>
      </c>
      <c r="G17" s="5" t="str">
        <f t="shared" si="3"/>
        <v>&amp;H44F0EA&amp;</v>
      </c>
      <c r="H17" s="5">
        <f t="shared" si="4"/>
        <v>21</v>
      </c>
      <c r="I17" s="238" t="str">
        <f t="shared" si="5"/>
        <v>Case RAL_1016_Schwefelgelb:     s = "Schwefelgelb"</v>
      </c>
      <c r="J17" s="238" t="str">
        <f t="shared" si="6"/>
        <v>Case RAL_1016_Schwefelgelb:     n = 1016</v>
      </c>
      <c r="K17" s="238" t="str">
        <f t="shared" si="7"/>
        <v>Case 1016: c = RAL_1016_Schwefelgelb</v>
      </c>
      <c r="L17" s="238" t="str">
        <f t="shared" si="8"/>
        <v>MColor.CIELab(88.37, -9.78, 71.3)</v>
      </c>
      <c r="M17" s="238" t="str">
        <f t="shared" si="9"/>
        <v>m_Arr(i) = TNamedRALColor("Schwefelgelb", 1016, RALClassic.RAL_1016_Schwefelgelb, MColor.CIELab(88.37, -9.78, 71.3)):      i = i + 1</v>
      </c>
      <c r="N17" s="7">
        <v>88.37</v>
      </c>
      <c r="O17" s="7">
        <v>-9.7799999999999994</v>
      </c>
      <c r="P17" s="7">
        <v>71.3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5" t="s">
        <v>30</v>
      </c>
    </row>
    <row r="18" spans="1:29" ht="15" customHeight="1" x14ac:dyDescent="0.25">
      <c r="A18" s="3">
        <v>1017</v>
      </c>
      <c r="B18" s="5" t="s">
        <v>31</v>
      </c>
      <c r="C18" s="21"/>
      <c r="D18" t="s">
        <v>360</v>
      </c>
      <c r="E18" s="5" t="str">
        <f t="shared" si="2"/>
        <v>RAL_1017_Safrangelb</v>
      </c>
      <c r="F18" s="237" t="s">
        <v>574</v>
      </c>
      <c r="G18" s="5" t="str">
        <f t="shared" si="3"/>
        <v>&amp;H52B7F4&amp;</v>
      </c>
      <c r="H18" s="5">
        <f t="shared" si="4"/>
        <v>19</v>
      </c>
      <c r="I18" s="238" t="str">
        <f t="shared" si="5"/>
        <v>Case RAL_1017_Safrangelb:       s = "Safrangelb"</v>
      </c>
      <c r="J18" s="238" t="str">
        <f t="shared" si="6"/>
        <v>Case RAL_1017_Safrangelb:       n = 1017</v>
      </c>
      <c r="K18" s="238" t="str">
        <f t="shared" si="7"/>
        <v>Case 1017: c = RAL_1017_Safrangelb</v>
      </c>
      <c r="L18" s="238" t="str">
        <f t="shared" si="8"/>
        <v>MColor.CIELab(76.32, 19.37, 51.02)</v>
      </c>
      <c r="M18" s="238" t="str">
        <f t="shared" si="9"/>
        <v>m_Arr(i) = TNamedRALColor("Safrangelb", 1017, RALClassic.RAL_1017_Safrangelb, MColor.CIELab(76.32, 19.37, 51.02)):         i = i + 1</v>
      </c>
      <c r="N18" s="7">
        <v>76.319999999999993</v>
      </c>
      <c r="O18" s="7">
        <v>19.37</v>
      </c>
      <c r="P18" s="7">
        <v>51.02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5"/>
    </row>
    <row r="19" spans="1:29" ht="15" customHeight="1" x14ac:dyDescent="0.25">
      <c r="A19" s="3">
        <v>1018</v>
      </c>
      <c r="B19" s="8" t="s">
        <v>32</v>
      </c>
      <c r="C19" s="22"/>
      <c r="D19" t="s">
        <v>361</v>
      </c>
      <c r="E19" s="5" t="str">
        <f t="shared" si="2"/>
        <v>RAL_1018_Zinkgelb</v>
      </c>
      <c r="F19" s="237" t="s">
        <v>574</v>
      </c>
      <c r="G19" s="5" t="str">
        <f t="shared" si="3"/>
        <v>&amp;H3BE0F3&amp;</v>
      </c>
      <c r="H19" s="5">
        <f t="shared" si="4"/>
        <v>17</v>
      </c>
      <c r="I19" s="238" t="str">
        <f t="shared" si="5"/>
        <v>Case RAL_1018_Zinkgelb:         s = "Zinkgelb"</v>
      </c>
      <c r="J19" s="238" t="str">
        <f t="shared" si="6"/>
        <v>Case RAL_1018_Zinkgelb:         n = 1018</v>
      </c>
      <c r="K19" s="238" t="str">
        <f t="shared" si="7"/>
        <v>Case 1018: c = RAL_1018_Zinkgelb</v>
      </c>
      <c r="L19" s="238" t="str">
        <f t="shared" si="8"/>
        <v>MColor.CIELab(83.35, 3.46, 75.83)</v>
      </c>
      <c r="M19" s="238" t="str">
        <f t="shared" si="9"/>
        <v>m_Arr(i) = TNamedRALColor("Zinkgelb", 1018, RALClassic.RAL_1018_Zinkgelb, MColor.CIELab(83.35, 3.46, 75.83)):              i = i + 1</v>
      </c>
      <c r="N19" s="7">
        <v>83.35</v>
      </c>
      <c r="O19" s="7">
        <v>3.46</v>
      </c>
      <c r="P19" s="7">
        <v>75.83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5"/>
    </row>
    <row r="20" spans="1:29" ht="15" customHeight="1" x14ac:dyDescent="0.25">
      <c r="A20" s="3">
        <v>1019</v>
      </c>
      <c r="B20" s="5" t="s">
        <v>33</v>
      </c>
      <c r="C20" s="23"/>
      <c r="D20" t="s">
        <v>362</v>
      </c>
      <c r="E20" s="5" t="str">
        <f t="shared" si="2"/>
        <v>RAL_1019_Graubeige</v>
      </c>
      <c r="F20" s="237" t="s">
        <v>574</v>
      </c>
      <c r="G20" s="5" t="str">
        <f t="shared" si="3"/>
        <v>&amp;H7D95A4&amp;</v>
      </c>
      <c r="H20" s="5">
        <f t="shared" si="4"/>
        <v>18</v>
      </c>
      <c r="I20" s="238" t="str">
        <f t="shared" si="5"/>
        <v>Case RAL_1019_Graubeige:        s = "Graubeige"</v>
      </c>
      <c r="J20" s="238" t="str">
        <f t="shared" si="6"/>
        <v>Case RAL_1019_Graubeige:        n = 1019</v>
      </c>
      <c r="K20" s="238" t="str">
        <f t="shared" si="7"/>
        <v>Case 1019: c = RAL_1019_Graubeige</v>
      </c>
      <c r="L20" s="238" t="str">
        <f t="shared" si="8"/>
        <v>MColor.CIELab(62.62, 4.31, 12.94)</v>
      </c>
      <c r="M20" s="238" t="str">
        <f t="shared" si="9"/>
        <v>m_Arr(i) = TNamedRALColor("Graubeige", 1019, RALClassic.RAL_1019_Graubeige, MColor.CIELab(62.62, 4.31, 12.94)):            i = i + 1</v>
      </c>
      <c r="N20" s="7">
        <v>62.62</v>
      </c>
      <c r="O20" s="7">
        <v>4.3099999999999996</v>
      </c>
      <c r="P20" s="7">
        <v>12.94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5"/>
    </row>
    <row r="21" spans="1:29" ht="15" customHeight="1" x14ac:dyDescent="0.25">
      <c r="A21" s="3">
        <v>1020</v>
      </c>
      <c r="B21" s="5" t="s">
        <v>34</v>
      </c>
      <c r="C21" s="24"/>
      <c r="D21" t="s">
        <v>363</v>
      </c>
      <c r="E21" s="5" t="str">
        <f t="shared" si="2"/>
        <v>RAL_1020_Olivgelb</v>
      </c>
      <c r="F21" s="237" t="s">
        <v>574</v>
      </c>
      <c r="G21" s="5" t="str">
        <f t="shared" si="3"/>
        <v>&amp;H64949A&amp;</v>
      </c>
      <c r="H21" s="5">
        <f t="shared" si="4"/>
        <v>17</v>
      </c>
      <c r="I21" s="238" t="str">
        <f t="shared" si="5"/>
        <v>Case RAL_1020_Olivgelb:         s = "Olivgelb"</v>
      </c>
      <c r="J21" s="238" t="str">
        <f t="shared" si="6"/>
        <v>Case RAL_1020_Olivgelb:         n = 1020</v>
      </c>
      <c r="K21" s="238" t="str">
        <f t="shared" si="7"/>
        <v>Case 1020: c = RAL_1020_Olivgelb</v>
      </c>
      <c r="L21" s="238" t="str">
        <f t="shared" si="8"/>
        <v>MColor.CIELab(61.98, 0.39, 23.18)</v>
      </c>
      <c r="M21" s="238" t="str">
        <f t="shared" si="9"/>
        <v>m_Arr(i) = TNamedRALColor("Olivgelb", 1020, RALClassic.RAL_1020_Olivgelb, MColor.CIELab(61.98, 0.39, 23.18)):              i = i + 1</v>
      </c>
      <c r="N21" s="7">
        <v>61.98</v>
      </c>
      <c r="O21" s="7">
        <v>0.39</v>
      </c>
      <c r="P21" s="7">
        <v>23.18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5"/>
    </row>
    <row r="22" spans="1:29" ht="15" customHeight="1" x14ac:dyDescent="0.25">
      <c r="A22" s="3">
        <v>1021</v>
      </c>
      <c r="B22" s="5" t="s">
        <v>35</v>
      </c>
      <c r="C22" s="25"/>
      <c r="D22" t="s">
        <v>364</v>
      </c>
      <c r="E22" s="5" t="str">
        <f t="shared" si="2"/>
        <v>RAL_1021_Rapsgelb</v>
      </c>
      <c r="F22" s="237" t="s">
        <v>574</v>
      </c>
      <c r="G22" s="5" t="str">
        <f t="shared" si="3"/>
        <v>&amp;HB6F6&amp;</v>
      </c>
      <c r="H22" s="5">
        <f t="shared" si="4"/>
        <v>17</v>
      </c>
      <c r="I22" s="238" t="str">
        <f t="shared" si="5"/>
        <v>Case RAL_1021_Rapsgelb:         s = "Rapsgelb"</v>
      </c>
      <c r="J22" s="238" t="str">
        <f t="shared" si="6"/>
        <v>Case RAL_1021_Rapsgelb:         n = 1021</v>
      </c>
      <c r="K22" s="238" t="str">
        <f t="shared" si="7"/>
        <v>Case 1021: c = RAL_1021_Rapsgelb</v>
      </c>
      <c r="L22" s="238" t="str">
        <f t="shared" si="8"/>
        <v>MColor.CIELab(82, 10, 80)</v>
      </c>
      <c r="M22" s="238" t="str">
        <f t="shared" si="9"/>
        <v>m_Arr(i) = TNamedRALColor("Rapsgelb", 1021, RALClassic.RAL_1021_Rapsgelb, MColor.CIELab(82, 10, 80)):                      i = i + 1</v>
      </c>
      <c r="N22" s="7">
        <v>82</v>
      </c>
      <c r="O22" s="7">
        <v>10</v>
      </c>
      <c r="P22" s="7">
        <v>80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5" t="s">
        <v>36</v>
      </c>
    </row>
    <row r="23" spans="1:29" ht="15" customHeight="1" x14ac:dyDescent="0.25">
      <c r="A23" s="3">
        <v>1023</v>
      </c>
      <c r="B23" s="8" t="s">
        <v>37</v>
      </c>
      <c r="C23" s="26"/>
      <c r="D23" t="s">
        <v>365</v>
      </c>
      <c r="E23" s="5" t="str">
        <f t="shared" si="2"/>
        <v>RAL_1023_Verkehrsgelb</v>
      </c>
      <c r="F23" s="237" t="s">
        <v>574</v>
      </c>
      <c r="G23" s="5" t="str">
        <f t="shared" si="3"/>
        <v>&amp;HB5F7&amp;</v>
      </c>
      <c r="H23" s="5">
        <f t="shared" si="4"/>
        <v>21</v>
      </c>
      <c r="I23" s="238" t="str">
        <f t="shared" si="5"/>
        <v>Case RAL_1023_Verkehrsgelb:     s = "Verkehrsgelb"</v>
      </c>
      <c r="J23" s="238" t="str">
        <f t="shared" si="6"/>
        <v>Case RAL_1023_Verkehrsgelb:     n = 1023</v>
      </c>
      <c r="K23" s="238" t="str">
        <f t="shared" si="7"/>
        <v>Case 1023: c = RAL_1023_Verkehrsgelb</v>
      </c>
      <c r="L23" s="238" t="str">
        <f t="shared" si="8"/>
        <v>MColor.CIELab(82, 11, 80)</v>
      </c>
      <c r="M23" s="238" t="str">
        <f t="shared" si="9"/>
        <v>m_Arr(i) = TNamedRALColor("Verkehrsgelb", 1023, RALClassic.RAL_1023_Verkehrsgelb, MColor.CIELab(82, 11, 80)):              i = i + 1</v>
      </c>
      <c r="N23" s="7">
        <v>82</v>
      </c>
      <c r="O23" s="7">
        <v>11</v>
      </c>
      <c r="P23" s="7">
        <v>80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" t="s">
        <v>38</v>
      </c>
    </row>
    <row r="24" spans="1:29" ht="15" customHeight="1" x14ac:dyDescent="0.25">
      <c r="A24" s="3">
        <v>1024</v>
      </c>
      <c r="B24" s="8" t="s">
        <v>39</v>
      </c>
      <c r="C24" s="27"/>
      <c r="D24" t="s">
        <v>366</v>
      </c>
      <c r="E24" s="5" t="str">
        <f t="shared" si="2"/>
        <v>RAL_1024_Ockergelb</v>
      </c>
      <c r="F24" s="237" t="s">
        <v>574</v>
      </c>
      <c r="G24" s="5" t="str">
        <f t="shared" si="3"/>
        <v>&amp;H509CB8&amp;</v>
      </c>
      <c r="H24" s="5">
        <f t="shared" si="4"/>
        <v>18</v>
      </c>
      <c r="I24" s="238" t="str">
        <f t="shared" si="5"/>
        <v>Case RAL_1024_Ockergelb:        s = "Ockergelb"</v>
      </c>
      <c r="J24" s="238" t="str">
        <f t="shared" si="6"/>
        <v>Case RAL_1024_Ockergelb:        n = 1024</v>
      </c>
      <c r="K24" s="238" t="str">
        <f t="shared" si="7"/>
        <v>Case 1024: c = RAL_1024_Ockergelb</v>
      </c>
      <c r="L24" s="238" t="str">
        <f t="shared" si="8"/>
        <v>MColor.CIELab(64.26, 8.49, 41.49)</v>
      </c>
      <c r="M24" s="238" t="str">
        <f t="shared" si="9"/>
        <v>m_Arr(i) = TNamedRALColor("Ockergelb", 1024, RALClassic.RAL_1024_Ockergelb, MColor.CIELab(64.26, 8.49, 41.49)):            i = i + 1</v>
      </c>
      <c r="N24" s="7">
        <v>64.260000000000005</v>
      </c>
      <c r="O24" s="7">
        <v>8.49</v>
      </c>
      <c r="P24" s="7">
        <v>41.49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5"/>
    </row>
    <row r="25" spans="1:29" ht="15" customHeight="1" x14ac:dyDescent="0.25">
      <c r="A25" s="3">
        <v>1026</v>
      </c>
      <c r="B25" s="5" t="s">
        <v>40</v>
      </c>
      <c r="C25" s="28"/>
      <c r="D25" t="s">
        <v>367</v>
      </c>
      <c r="E25" s="5" t="str">
        <f t="shared" si="2"/>
        <v>RAL_1026_Leuchtgelb</v>
      </c>
      <c r="F25" s="237" t="s">
        <v>574</v>
      </c>
      <c r="G25" s="5" t="str">
        <f t="shared" si="3"/>
        <v>&amp;HFFFF&amp;</v>
      </c>
      <c r="H25" s="5">
        <f t="shared" si="4"/>
        <v>19</v>
      </c>
      <c r="I25" s="238" t="str">
        <f t="shared" si="5"/>
        <v>Case RAL_1026_Leuchtgelb:       s = "Leuchtgelb"</v>
      </c>
      <c r="J25" s="238" t="str">
        <f t="shared" si="6"/>
        <v>Case RAL_1026_Leuchtgelb:       n = 1026</v>
      </c>
      <c r="K25" s="238" t="str">
        <f t="shared" si="7"/>
        <v>Case 1026: c = RAL_1026_Leuchtgelb</v>
      </c>
      <c r="L25" s="238" t="str">
        <f t="shared" si="8"/>
        <v>MColor.CIELab(97, -15, 90)</v>
      </c>
      <c r="M25" s="238" t="str">
        <f t="shared" si="9"/>
        <v>m_Arr(i) = TNamedRALColor("Leuchtgelb", 1026, RALClassic.RAL_1026_Leuchtgelb, MColor.CIELab(97, -15, 90)):                 i = i + 1</v>
      </c>
      <c r="N25" s="7">
        <v>97</v>
      </c>
      <c r="O25" s="7">
        <v>-15</v>
      </c>
      <c r="P25" s="7">
        <v>90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5"/>
    </row>
    <row r="26" spans="1:29" ht="15" customHeight="1" x14ac:dyDescent="0.25">
      <c r="A26" s="3">
        <v>1027</v>
      </c>
      <c r="B26" s="5" t="s">
        <v>41</v>
      </c>
      <c r="C26" s="29"/>
      <c r="D26" t="s">
        <v>368</v>
      </c>
      <c r="E26" s="5" t="str">
        <f t="shared" si="2"/>
        <v>RAL_1027_Currygelb</v>
      </c>
      <c r="F26" s="237" t="s">
        <v>574</v>
      </c>
      <c r="G26" s="5" t="str">
        <f t="shared" si="3"/>
        <v>&amp;H158CA3&amp;</v>
      </c>
      <c r="H26" s="5">
        <f t="shared" si="4"/>
        <v>18</v>
      </c>
      <c r="I26" s="238" t="str">
        <f t="shared" si="5"/>
        <v>Case RAL_1027_Currygelb:        s = "Currygelb"</v>
      </c>
      <c r="J26" s="238" t="str">
        <f t="shared" si="6"/>
        <v>Case RAL_1027_Currygelb:        n = 1027</v>
      </c>
      <c r="K26" s="238" t="str">
        <f t="shared" si="7"/>
        <v>Case 1027: c = RAL_1027_Currygelb</v>
      </c>
      <c r="L26" s="238" t="str">
        <f t="shared" si="8"/>
        <v>MColor.CIELab(58.15, 5.83, 47.68)</v>
      </c>
      <c r="M26" s="238" t="str">
        <f t="shared" si="9"/>
        <v>m_Arr(i) = TNamedRALColor("Currygelb", 1027, RALClassic.RAL_1027_Currygelb, MColor.CIELab(58.15, 5.83, 47.68)):            i = i + 1</v>
      </c>
      <c r="N26" s="7">
        <v>58.15</v>
      </c>
      <c r="O26" s="7">
        <v>5.83</v>
      </c>
      <c r="P26" s="7">
        <v>47.68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5"/>
    </row>
    <row r="27" spans="1:29" ht="15" customHeight="1" x14ac:dyDescent="0.25">
      <c r="A27" s="3">
        <v>1028</v>
      </c>
      <c r="B27" s="5" t="s">
        <v>42</v>
      </c>
      <c r="C27" s="30"/>
      <c r="D27" t="s">
        <v>369</v>
      </c>
      <c r="E27" s="5" t="str">
        <f t="shared" si="2"/>
        <v>RAL_1028_Melonengelb</v>
      </c>
      <c r="F27" s="237" t="s">
        <v>574</v>
      </c>
      <c r="G27" s="5" t="str">
        <f t="shared" si="3"/>
        <v>&amp;H9BFF&amp;</v>
      </c>
      <c r="H27" s="5">
        <f t="shared" si="4"/>
        <v>20</v>
      </c>
      <c r="I27" s="238" t="str">
        <f t="shared" si="5"/>
        <v>Case RAL_1028_Melonengelb:      s = "Melonengelb"</v>
      </c>
      <c r="J27" s="238" t="str">
        <f t="shared" si="6"/>
        <v>Case RAL_1028_Melonengelb:      n = 1028</v>
      </c>
      <c r="K27" s="238" t="str">
        <f t="shared" si="7"/>
        <v>Case 1028: c = RAL_1028_Melonengelb</v>
      </c>
      <c r="L27" s="238" t="str">
        <f t="shared" si="8"/>
        <v>MColor.CIELab(77, 25, 78)</v>
      </c>
      <c r="M27" s="238" t="str">
        <f t="shared" si="9"/>
        <v>m_Arr(i) = TNamedRALColor("Melonengelb", 1028, RALClassic.RAL_1028_Melonengelb, MColor.CIELab(77, 25, 78)):                i = i + 1</v>
      </c>
      <c r="N27" s="7">
        <v>77</v>
      </c>
      <c r="O27" s="7">
        <v>25</v>
      </c>
      <c r="P27" s="7">
        <v>78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5" t="s">
        <v>43</v>
      </c>
    </row>
    <row r="28" spans="1:29" ht="15" customHeight="1" x14ac:dyDescent="0.25">
      <c r="A28" s="3">
        <v>1032</v>
      </c>
      <c r="B28" s="5" t="s">
        <v>44</v>
      </c>
      <c r="C28" s="31"/>
      <c r="D28" t="s">
        <v>370</v>
      </c>
      <c r="E28" s="5" t="str">
        <f t="shared" si="2"/>
        <v>RAL_1032_Ginstergelb</v>
      </c>
      <c r="F28" s="237" t="s">
        <v>574</v>
      </c>
      <c r="G28" s="5" t="str">
        <f t="shared" si="3"/>
        <v>&amp;HA3E2&amp;</v>
      </c>
      <c r="H28" s="5">
        <f t="shared" si="4"/>
        <v>20</v>
      </c>
      <c r="I28" s="238" t="str">
        <f t="shared" si="5"/>
        <v>Case RAL_1032_Ginstergelb:      s = "Ginstergelb"</v>
      </c>
      <c r="J28" s="238" t="str">
        <f t="shared" si="6"/>
        <v>Case RAL_1032_Ginstergelb:      n = 1032</v>
      </c>
      <c r="K28" s="238" t="str">
        <f t="shared" si="7"/>
        <v>Case 1032: c = RAL_1032_Ginstergelb</v>
      </c>
      <c r="L28" s="238" t="str">
        <f t="shared" si="8"/>
        <v>MColor.CIELab(76, 11, 76)</v>
      </c>
      <c r="M28" s="238" t="str">
        <f t="shared" si="9"/>
        <v>m_Arr(i) = TNamedRALColor("Ginstergelb", 1032, RALClassic.RAL_1032_Ginstergelb, MColor.CIELab(76, 11, 76)):                i = i + 1</v>
      </c>
      <c r="N28" s="7">
        <v>76</v>
      </c>
      <c r="O28" s="7">
        <v>11</v>
      </c>
      <c r="P28" s="7">
        <v>76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 t="s">
        <v>45</v>
      </c>
    </row>
    <row r="29" spans="1:29" ht="15" customHeight="1" x14ac:dyDescent="0.25">
      <c r="A29" s="3">
        <v>1033</v>
      </c>
      <c r="B29" s="5" t="s">
        <v>46</v>
      </c>
      <c r="C29" s="32"/>
      <c r="D29" t="s">
        <v>371</v>
      </c>
      <c r="E29" s="5" t="str">
        <f t="shared" si="2"/>
        <v>RAL_1033_Dahliengelb</v>
      </c>
      <c r="F29" s="237" t="s">
        <v>574</v>
      </c>
      <c r="G29" s="5" t="str">
        <f t="shared" si="3"/>
        <v>&amp;H21ABFA&amp;</v>
      </c>
      <c r="H29" s="5">
        <f t="shared" si="4"/>
        <v>20</v>
      </c>
      <c r="I29" s="238" t="str">
        <f t="shared" si="5"/>
        <v>Case RAL_1033_Dahliengelb:      s = "Dahliengelb"</v>
      </c>
      <c r="J29" s="238" t="str">
        <f t="shared" si="6"/>
        <v>Case RAL_1033_Dahliengelb:      n = 1033</v>
      </c>
      <c r="K29" s="238" t="str">
        <f t="shared" si="7"/>
        <v>Case 1033: c = RAL_1033_Dahliengelb</v>
      </c>
      <c r="L29" s="238" t="str">
        <f t="shared" si="8"/>
        <v>MColor.CIELab(71.74, 27.78, 71.68)</v>
      </c>
      <c r="M29" s="238" t="str">
        <f t="shared" si="9"/>
        <v>m_Arr(i) = TNamedRALColor("Dahliengelb", 1033, RALClassic.RAL_1033_Dahliengelb, MColor.CIELab(71.74, 27.78, 71.68)):       i = i + 1</v>
      </c>
      <c r="N29" s="7">
        <v>71.739999999999995</v>
      </c>
      <c r="O29" s="7">
        <v>27.78</v>
      </c>
      <c r="P29" s="7">
        <v>71.680000000000007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5"/>
    </row>
    <row r="30" spans="1:29" ht="15" customHeight="1" x14ac:dyDescent="0.25">
      <c r="A30" s="3">
        <v>1034</v>
      </c>
      <c r="B30" s="5" t="s">
        <v>47</v>
      </c>
      <c r="C30" s="33"/>
      <c r="D30" t="s">
        <v>372</v>
      </c>
      <c r="E30" s="5" t="str">
        <f t="shared" si="2"/>
        <v>RAL_1034_Pastellgelb</v>
      </c>
      <c r="F30" s="237" t="s">
        <v>574</v>
      </c>
      <c r="G30" s="5" t="str">
        <f t="shared" si="3"/>
        <v>&amp;H56ABED&amp;</v>
      </c>
      <c r="H30" s="5">
        <f t="shared" si="4"/>
        <v>20</v>
      </c>
      <c r="I30" s="238" t="str">
        <f t="shared" si="5"/>
        <v>Case RAL_1034_Pastellgelb:      s = "Pastellgelb"</v>
      </c>
      <c r="J30" s="238" t="str">
        <f t="shared" si="6"/>
        <v>Case RAL_1034_Pastellgelb:      n = 1034</v>
      </c>
      <c r="K30" s="238" t="str">
        <f t="shared" si="7"/>
        <v>Case 1034: c = RAL_1034_Pastellgelb</v>
      </c>
      <c r="L30" s="238" t="str">
        <f t="shared" si="8"/>
        <v>MColor.CIELab(72.73, 21.4, 45.09)</v>
      </c>
      <c r="M30" s="238" t="str">
        <f t="shared" si="9"/>
        <v>m_Arr(i) = TNamedRALColor("Pastellgelb", 1034, RALClassic.RAL_1034_Pastellgelb, MColor.CIELab(72.73, 21.4, 45.09)):        i = i + 1</v>
      </c>
      <c r="N30" s="7">
        <v>72.73</v>
      </c>
      <c r="O30" s="7">
        <v>21.4</v>
      </c>
      <c r="P30" s="7">
        <v>45.09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5"/>
    </row>
    <row r="31" spans="1:29" ht="15" customHeight="1" x14ac:dyDescent="0.25">
      <c r="A31" s="3">
        <v>1035</v>
      </c>
      <c r="B31" s="5" t="s">
        <v>48</v>
      </c>
      <c r="C31" s="34"/>
      <c r="D31" t="s">
        <v>373</v>
      </c>
      <c r="E31" s="5" t="str">
        <f t="shared" si="2"/>
        <v>RAL_1035_Perlbeige</v>
      </c>
      <c r="F31" s="237" t="s">
        <v>574</v>
      </c>
      <c r="G31" s="5" t="str">
        <f t="shared" si="3"/>
        <v>&amp;H8599A2&amp;</v>
      </c>
      <c r="H31" s="5">
        <f t="shared" si="4"/>
        <v>18</v>
      </c>
      <c r="I31" s="238" t="str">
        <f t="shared" si="5"/>
        <v>Case RAL_1035_Perlbeige:        s = "Perlbeige"</v>
      </c>
      <c r="J31" s="238" t="str">
        <f t="shared" si="6"/>
        <v>Case RAL_1035_Perlbeige:        n = 1035</v>
      </c>
      <c r="K31" s="238" t="str">
        <f t="shared" si="7"/>
        <v>Case 1035: c = RAL_1035_Perlbeige</v>
      </c>
      <c r="L31" s="238" t="str">
        <f t="shared" si="8"/>
        <v>MColor.CIELab(54.79, 0.35, 11.86)</v>
      </c>
      <c r="M31" s="238" t="str">
        <f t="shared" si="9"/>
        <v>m_Arr(i) = TNamedRALColor("Perlbeige", 1035, RALClassic.RAL_1035_Perlbeige, MColor.CIELab(54.79, 0.35, 11.86)):            i = i + 1</v>
      </c>
      <c r="N31" s="7">
        <v>54.79</v>
      </c>
      <c r="O31" s="7">
        <v>0.35</v>
      </c>
      <c r="P31" s="7">
        <v>11.86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5"/>
    </row>
    <row r="32" spans="1:29" ht="15" customHeight="1" x14ac:dyDescent="0.25">
      <c r="A32" s="3">
        <v>1036</v>
      </c>
      <c r="B32" s="5" t="s">
        <v>49</v>
      </c>
      <c r="C32" s="35"/>
      <c r="D32" t="s">
        <v>374</v>
      </c>
      <c r="E32" s="5" t="str">
        <f t="shared" si="2"/>
        <v>RAL_1036_Perlgold</v>
      </c>
      <c r="F32" s="237" t="s">
        <v>574</v>
      </c>
      <c r="G32" s="5" t="str">
        <f t="shared" si="3"/>
        <v>&amp;H497592&amp;</v>
      </c>
      <c r="H32" s="5">
        <f t="shared" si="4"/>
        <v>17</v>
      </c>
      <c r="I32" s="238" t="str">
        <f t="shared" si="5"/>
        <v>Case RAL_1036_Perlgold:         s = "Perlgold"</v>
      </c>
      <c r="J32" s="238" t="str">
        <f t="shared" si="6"/>
        <v>Case RAL_1036_Perlgold:         n = 1036</v>
      </c>
      <c r="K32" s="238" t="str">
        <f t="shared" si="7"/>
        <v>Case 1036: c = RAL_1036_Perlgold</v>
      </c>
      <c r="L32" s="238" t="str">
        <f t="shared" si="8"/>
        <v>MColor.CIELab(48.95, 4.77, 26.69)</v>
      </c>
      <c r="M32" s="238" t="str">
        <f t="shared" si="9"/>
        <v>m_Arr(i) = TNamedRALColor("Perlgold", 1036, RALClassic.RAL_1036_Perlgold, MColor.CIELab(48.95, 4.77, 26.69)):              i = i + 1</v>
      </c>
      <c r="N32" s="7">
        <v>48.95</v>
      </c>
      <c r="O32" s="7">
        <v>4.7699999999999996</v>
      </c>
      <c r="P32" s="7">
        <v>26.69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5"/>
    </row>
    <row r="33" spans="1:28" ht="15" customHeight="1" x14ac:dyDescent="0.25">
      <c r="A33" s="3">
        <v>1037</v>
      </c>
      <c r="B33" s="5" t="s">
        <v>50</v>
      </c>
      <c r="C33" s="36"/>
      <c r="D33" t="s">
        <v>375</v>
      </c>
      <c r="E33" s="5" t="str">
        <f t="shared" si="2"/>
        <v>RAL_1037_Sonnengelb</v>
      </c>
      <c r="F33" s="237" t="s">
        <v>574</v>
      </c>
      <c r="G33" s="5" t="str">
        <f t="shared" si="3"/>
        <v>&amp;H5A2EE&amp;</v>
      </c>
      <c r="H33" s="5">
        <f t="shared" si="4"/>
        <v>19</v>
      </c>
      <c r="I33" s="238" t="str">
        <f t="shared" si="5"/>
        <v>Case RAL_1037_Sonnengelb:       s = "Sonnengelb"</v>
      </c>
      <c r="J33" s="238" t="str">
        <f t="shared" si="6"/>
        <v>Case RAL_1037_Sonnengelb:       n = 1037</v>
      </c>
      <c r="K33" s="238" t="str">
        <f t="shared" si="7"/>
        <v>Case 1037: c = RAL_1037_Sonnengelb</v>
      </c>
      <c r="L33" s="238" t="str">
        <f t="shared" si="8"/>
        <v>MColor.CIELab(70.28, 26.19, 64.79)</v>
      </c>
      <c r="M33" s="238" t="str">
        <f t="shared" si="9"/>
        <v>m_Arr(i) = TNamedRALColor("Sonnengelb", 1037, RALClassic.RAL_1037_Sonnengelb, MColor.CIELab(70.28, 26.19, 64.79)):         i = i + 1</v>
      </c>
      <c r="N33" s="7">
        <v>70.28</v>
      </c>
      <c r="O33" s="7">
        <v>26.19</v>
      </c>
      <c r="P33" s="7">
        <v>64.790000000000006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5" spans="1:28" x14ac:dyDescent="0.25">
      <c r="H35" s="5">
        <f>MAX(H4:H33)</f>
        <v>22</v>
      </c>
    </row>
  </sheetData>
  <mergeCells count="1">
    <mergeCell ref="N3:P3"/>
  </mergeCells>
  <hyperlinks>
    <hyperlink ref="C3" r:id="rId1" location="cite_note-wiedergabe-5" display="https://de.wikipedia.org/wiki/RAL-Farbe - cite_note-wiedergabe-5" xr:uid="{00000000-0004-0000-0000-000000000000}"/>
    <hyperlink ref="N3" r:id="rId2" tooltip="Lab-Farbraum" display="https://de.wikipedia.org/wiki/Lab-Farbraum" xr:uid="{00000000-0004-0000-0000-000001000000}"/>
    <hyperlink ref="AC4" r:id="rId3" location="cite_note-FarbkarteB2-6" display="https://de.wikipedia.org/wiki/RAL-Farbe - cite_note-FarbkarteB2-6" xr:uid="{00000000-0004-0000-0000-000002000000}"/>
    <hyperlink ref="B5" r:id="rId4" location="Beige" tooltip="Naturfarben" display="https://de.wikipedia.org/wiki/Naturfarben - Beige" xr:uid="{00000000-0004-0000-0000-000003000000}"/>
    <hyperlink ref="AC5" r:id="rId5" location="cite_note-FarbkarteB2-6" display="https://de.wikipedia.org/wiki/RAL-Farbe - cite_note-FarbkarteB2-6" xr:uid="{00000000-0004-0000-0000-000004000000}"/>
    <hyperlink ref="AC6" r:id="rId6" location="cite_note-FarbkarteB2-6" display="https://de.wikipedia.org/wiki/RAL-Farbe - cite_note-FarbkarteB2-6" xr:uid="{00000000-0004-0000-0000-000005000000}"/>
    <hyperlink ref="B7" r:id="rId7" location="Signalfarbe" tooltip="Gelb" display="https://de.wikipedia.org/wiki/Gelb - Signalfarbe" xr:uid="{00000000-0004-0000-0000-000006000000}"/>
    <hyperlink ref="B8" r:id="rId8" location="Goldgelb" tooltip="Gelb" display="https://de.wikipedia.org/wiki/Gelb - Goldgelb" xr:uid="{00000000-0004-0000-0000-000007000000}"/>
    <hyperlink ref="AC9" r:id="rId9" location="cite_note-FarbkarteB2-6" display="https://de.wikipedia.org/wiki/RAL-Farbe - cite_note-FarbkarteB2-6" xr:uid="{00000000-0004-0000-0000-000008000000}"/>
    <hyperlink ref="AC10" r:id="rId10" location="cite_note-FarbkarteB2-6" display="https://de.wikipedia.org/wiki/RAL-Farbe - cite_note-FarbkarteB2-6" xr:uid="{00000000-0004-0000-0000-000009000000}"/>
    <hyperlink ref="B11" r:id="rId11" tooltip="Narzissengelb" display="https://de.wikipedia.org/wiki/Narzissengelb" xr:uid="{00000000-0004-0000-0000-00000A000000}"/>
    <hyperlink ref="AC11" r:id="rId12" location="cite_note-FarbkarteB2-6" display="https://de.wikipedia.org/wiki/RAL-Farbe - cite_note-FarbkarteB2-6" xr:uid="{00000000-0004-0000-0000-00000B000000}"/>
    <hyperlink ref="B13" r:id="rId13" tooltip="Zitronengelb (Farbe)" display="https://de.wikipedia.org/wiki/Zitronengelb_(Farbe)" xr:uid="{00000000-0004-0000-0000-00000C000000}"/>
    <hyperlink ref="AC14" r:id="rId14" tooltip="Elektroinstallation" display="https://de.wikipedia.org/wiki/Elektroinstallation" xr:uid="{00000000-0004-0000-0000-00000D000000}"/>
    <hyperlink ref="B15" r:id="rId15" tooltip="Elfenbein" display="https://de.wikipedia.org/wiki/Elfenbein" xr:uid="{00000000-0004-0000-0000-00000E000000}"/>
    <hyperlink ref="AC16" r:id="rId16" tooltip="Taxi" display="https://de.wikipedia.org/wiki/Taxi" xr:uid="{00000000-0004-0000-0000-00000F000000}"/>
    <hyperlink ref="B17" r:id="rId17" location="Zitronengelb,_Schwefelgelb" tooltip="Gelb" display="https://de.wikipedia.org/wiki/Gelb - Zitronengelb,_Schwefelgelb" xr:uid="{00000000-0004-0000-0000-000010000000}"/>
    <hyperlink ref="B19" r:id="rId18" tooltip="Zinkgelb" display="https://de.wikipedia.org/wiki/Zinkgelb" xr:uid="{00000000-0004-0000-0000-000011000000}"/>
    <hyperlink ref="B23" r:id="rId19" tooltip="Verkehrsgelb" display="https://de.wikipedia.org/wiki/Verkehrsgelb" xr:uid="{00000000-0004-0000-0000-000012000000}"/>
    <hyperlink ref="AC23" r:id="rId20" location="cite_note-Farbkarte840R-7" display="https://de.wikipedia.org/wiki/RAL-Farbe - cite_note-Farbkarte840R-7" xr:uid="{00000000-0004-0000-0000-000013000000}"/>
    <hyperlink ref="B24" r:id="rId21" tooltip="Ocker" display="https://de.wikipedia.org/wiki/Ocker" xr:uid="{00000000-0004-0000-0000-000014000000}"/>
    <hyperlink ref="AC28" r:id="rId22" tooltip="Deutsche Post AG" display="https://de.wikipedia.org/wiki/Deutsche_Post_AG" xr:uid="{00000000-0004-0000-0000-000015000000}"/>
  </hyperlinks>
  <pageMargins left="0.7" right="0.7" top="0.78740157499999996" bottom="0.78740157499999996" header="0.3" footer="0.3"/>
  <pageSetup paperSize="9" orientation="portrait" verticalDpi="0" r:id="rId2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Q17"/>
  <sheetViews>
    <sheetView workbookViewId="0"/>
  </sheetViews>
  <sheetFormatPr baseColWidth="10" defaultRowHeight="15" x14ac:dyDescent="0.25"/>
  <cols>
    <col min="2" max="2" width="18.7109375" customWidth="1"/>
    <col min="3" max="4" width="15.7109375" customWidth="1"/>
    <col min="5" max="5" width="30.7109375" customWidth="1"/>
    <col min="6" max="6" width="2" bestFit="1" customWidth="1"/>
    <col min="7" max="7" width="12.7109375" customWidth="1"/>
    <col min="8" max="8" width="5.7109375" customWidth="1"/>
    <col min="9" max="9" width="56.140625" bestFit="1" customWidth="1"/>
    <col min="10" max="11" width="41.85546875" bestFit="1" customWidth="1"/>
    <col min="12" max="12" width="41.85546875" customWidth="1"/>
    <col min="13" max="13" width="141.5703125" bestFit="1" customWidth="1"/>
    <col min="17" max="17" width="177.7109375" customWidth="1"/>
  </cols>
  <sheetData>
    <row r="1" spans="1:17" ht="18" x14ac:dyDescent="0.25">
      <c r="A1" s="2" t="s">
        <v>51</v>
      </c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x14ac:dyDescent="0.25">
      <c r="A4" s="3">
        <v>2000</v>
      </c>
      <c r="B4" s="5" t="s">
        <v>52</v>
      </c>
      <c r="C4" s="37"/>
      <c r="D4" t="s">
        <v>376</v>
      </c>
      <c r="E4" s="5" t="str">
        <f>"RAL" &amp; "_" &amp; A4 &amp; "_" &amp; B4</f>
        <v>RAL_2000_Gelborange</v>
      </c>
      <c r="F4" s="237" t="s">
        <v>574</v>
      </c>
      <c r="G4" s="5" t="str">
        <f>D4 &amp; "&amp;"</f>
        <v>&amp;H6EDA&amp;</v>
      </c>
      <c r="H4" s="5">
        <f>LEN(E4)</f>
        <v>19</v>
      </c>
      <c r="I4" s="238" t="str">
        <f>"Case "&amp; "RAL" &amp; "_" &amp; A4 &amp; "_" &amp; B4 &amp; ": "&amp;REPT(" ",25-LEN(E4))&amp;"s = """&amp;B4&amp;""""</f>
        <v>Case RAL_2000_Gelborange:       s = "Gelborange"</v>
      </c>
      <c r="J4" s="238" t="str">
        <f>"Case " &amp; "RAL" &amp; "_" &amp; A4 &amp;"_"&amp;B4&amp;": "&amp;REPT(" ",25-H4) &amp; "n = " &amp; A4</f>
        <v>Case RAL_2000_Gelborange:       n = 2000</v>
      </c>
      <c r="K4" s="238" t="str">
        <f>"Case " &amp; A4 &amp; ": c = " &amp; "RAL" &amp; "_" &amp; A4 &amp; "_" &amp; B4</f>
        <v>Case 2000: c = RAL_2000_Gelborange</v>
      </c>
      <c r="L4" s="238" t="str">
        <f xml:space="preserve"> "MColor.CIELab(" &amp; SUBSTITUTE(N4, ",", ".") &amp; ", " &amp; SUBSTITUTE(O4, ",", ".") &amp; ", " &amp; SUBSTITUTE(P4, ",", ".") &amp; ")"</f>
        <v>MColor.CIELab(64, 33, 69)</v>
      </c>
      <c r="M4" s="238" t="str">
        <f t="shared" ref="M4:M17" si="0">"m_Arr(i) = TNamedRALColor(""" &amp; B4 &amp; """, " &amp; A4 &amp; ", RALClassic." &amp; E4 &amp; ", " &amp; L4 &amp; "): " &amp; REPT(" ", (85-LEN(L4))-2*H4) &amp; "i = i + 1"</f>
        <v>m_Arr(i) = TNamedRALColor("Gelborange", 2000, RALClassic.RAL_2000_Gelborange, MColor.CIELab(64, 33, 69)):                       i = i + 1</v>
      </c>
      <c r="N4" s="7">
        <v>64</v>
      </c>
      <c r="O4" s="7">
        <v>33</v>
      </c>
      <c r="P4" s="7">
        <v>69</v>
      </c>
      <c r="Q4" s="8" t="s">
        <v>53</v>
      </c>
    </row>
    <row r="5" spans="1:17" x14ac:dyDescent="0.25">
      <c r="A5" s="3">
        <v>2001</v>
      </c>
      <c r="B5" s="5" t="s">
        <v>54</v>
      </c>
      <c r="C5" s="38"/>
      <c r="D5" t="s">
        <v>377</v>
      </c>
      <c r="E5" s="5" t="str">
        <f t="shared" ref="E5:E17" si="1">"RAL" &amp; "_" &amp; A5 &amp; "_" &amp; B5</f>
        <v>RAL_2001_Rotorange</v>
      </c>
      <c r="F5" s="237" t="s">
        <v>574</v>
      </c>
      <c r="G5" s="5" t="str">
        <f t="shared" ref="G5:G17" si="2">D5 &amp; "&amp;"</f>
        <v>&amp;H1B48BA&amp;</v>
      </c>
      <c r="H5" s="5">
        <f t="shared" ref="H5:H17" si="3">LEN(E5)</f>
        <v>18</v>
      </c>
      <c r="I5" s="238" t="str">
        <f t="shared" ref="I5:I17" si="4">"Case "&amp; "RAL" &amp; "_" &amp; A5 &amp; "_" &amp; B5 &amp; ": "&amp;REPT(" ",25-LEN(E5))&amp;"s = """&amp;B5&amp;""""</f>
        <v>Case RAL_2001_Rotorange:        s = "Rotorange"</v>
      </c>
      <c r="J5" s="238" t="str">
        <f t="shared" ref="J5:J17" si="5">"Case " &amp; "RAL" &amp; "_" &amp; A5 &amp;"_"&amp;B5&amp;": "&amp;REPT(" ",25-H5) &amp; "n = " &amp; A5</f>
        <v>Case RAL_2001_Rotorange:        n = 2001</v>
      </c>
      <c r="K5" s="238" t="str">
        <f t="shared" ref="K5:K17" si="6">"Case " &amp; A5 &amp; ": c = " &amp; "RAL" &amp; "_" &amp; A5 &amp; "_" &amp; B5</f>
        <v>Case 2001: c = RAL_2001_Rotorange</v>
      </c>
      <c r="L5" s="238" t="str">
        <f t="shared" ref="L5:L17" si="7" xml:space="preserve"> "MColor.CIELab(" &amp; SUBSTITUTE(N5, ",", ".") &amp; ", " &amp; SUBSTITUTE(O5, ",", ".") &amp; ", " &amp; SUBSTITUTE(P5, ",", ".") &amp; ")"</f>
        <v>MColor.CIELab(53, 41, 51)</v>
      </c>
      <c r="M5" s="238" t="str">
        <f t="shared" si="0"/>
        <v>m_Arr(i) = TNamedRALColor("Rotorange", 2001, RALClassic.RAL_2001_Rotorange, MColor.CIELab(53, 41, 51)):                         i = i + 1</v>
      </c>
      <c r="N5" s="7">
        <v>53</v>
      </c>
      <c r="O5" s="7">
        <v>41</v>
      </c>
      <c r="P5" s="7">
        <v>51</v>
      </c>
      <c r="Q5" s="8" t="s">
        <v>55</v>
      </c>
    </row>
    <row r="6" spans="1:17" x14ac:dyDescent="0.25">
      <c r="A6" s="3">
        <v>2002</v>
      </c>
      <c r="B6" s="5" t="s">
        <v>56</v>
      </c>
      <c r="C6" s="39"/>
      <c r="D6" t="s">
        <v>378</v>
      </c>
      <c r="E6" s="5" t="str">
        <f t="shared" si="1"/>
        <v>RAL_2002_Blutorange</v>
      </c>
      <c r="F6" s="237" t="s">
        <v>574</v>
      </c>
      <c r="G6" s="5" t="str">
        <f t="shared" si="2"/>
        <v>&amp;H2739C6&amp;</v>
      </c>
      <c r="H6" s="5">
        <f t="shared" si="3"/>
        <v>19</v>
      </c>
      <c r="I6" s="238" t="str">
        <f t="shared" si="4"/>
        <v>Case RAL_2002_Blutorange:       s = "Blutorange"</v>
      </c>
      <c r="J6" s="238" t="str">
        <f t="shared" si="5"/>
        <v>Case RAL_2002_Blutorange:       n = 2002</v>
      </c>
      <c r="K6" s="238" t="str">
        <f t="shared" si="6"/>
        <v>Case 2002: c = RAL_2002_Blutorange</v>
      </c>
      <c r="L6" s="238" t="str">
        <f t="shared" si="7"/>
        <v>MColor.CIELab(47.74, 47.87, 33.73)</v>
      </c>
      <c r="M6" s="238" t="str">
        <f t="shared" si="0"/>
        <v>m_Arr(i) = TNamedRALColor("Blutorange", 2002, RALClassic.RAL_2002_Blutorange, MColor.CIELab(47.74, 47.87, 33.73)):              i = i + 1</v>
      </c>
      <c r="N6" s="7">
        <v>47.74</v>
      </c>
      <c r="O6" s="7">
        <v>47.87</v>
      </c>
      <c r="P6" s="7">
        <v>33.729999999999997</v>
      </c>
      <c r="Q6" s="5"/>
    </row>
    <row r="7" spans="1:17" x14ac:dyDescent="0.25">
      <c r="A7" s="3">
        <v>2003</v>
      </c>
      <c r="B7" s="5" t="s">
        <v>57</v>
      </c>
      <c r="C7" s="40"/>
      <c r="D7" t="s">
        <v>379</v>
      </c>
      <c r="E7" s="5" t="str">
        <f t="shared" si="1"/>
        <v>RAL_2003_Pastellorange</v>
      </c>
      <c r="F7" s="237" t="s">
        <v>574</v>
      </c>
      <c r="G7" s="5" t="str">
        <f t="shared" si="2"/>
        <v>&amp;H2B84FA&amp;</v>
      </c>
      <c r="H7" s="5">
        <f t="shared" si="3"/>
        <v>22</v>
      </c>
      <c r="I7" s="238" t="str">
        <f t="shared" si="4"/>
        <v>Case RAL_2003_Pastellorange:    s = "Pastellorange"</v>
      </c>
      <c r="J7" s="238" t="str">
        <f t="shared" si="5"/>
        <v>Case RAL_2003_Pastellorange:    n = 2003</v>
      </c>
      <c r="K7" s="238" t="str">
        <f t="shared" si="6"/>
        <v>Case 2003: c = RAL_2003_Pastellorange</v>
      </c>
      <c r="L7" s="238" t="str">
        <f t="shared" si="7"/>
        <v>MColor.CIELab(66.02, 41.22, 52.36)</v>
      </c>
      <c r="M7" s="238" t="str">
        <f t="shared" si="0"/>
        <v>m_Arr(i) = TNamedRALColor("Pastellorange", 2003, RALClassic.RAL_2003_Pastellorange, MColor.CIELab(66.02, 41.22, 52.36)):        i = i + 1</v>
      </c>
      <c r="N7" s="7">
        <v>66.02</v>
      </c>
      <c r="O7" s="7">
        <v>41.22</v>
      </c>
      <c r="P7" s="7">
        <v>52.36</v>
      </c>
      <c r="Q7" s="5" t="s">
        <v>58</v>
      </c>
    </row>
    <row r="8" spans="1:17" x14ac:dyDescent="0.25">
      <c r="A8" s="3">
        <v>2004</v>
      </c>
      <c r="B8" s="8" t="s">
        <v>59</v>
      </c>
      <c r="C8" s="232"/>
      <c r="D8" t="s">
        <v>380</v>
      </c>
      <c r="E8" s="5" t="str">
        <f t="shared" si="1"/>
        <v>RAL_2004_Reinorange</v>
      </c>
      <c r="F8" s="237" t="s">
        <v>574</v>
      </c>
      <c r="G8" s="5" t="str">
        <f t="shared" si="2"/>
        <v>&amp;H125BE7&amp;</v>
      </c>
      <c r="H8" s="5">
        <f t="shared" si="3"/>
        <v>19</v>
      </c>
      <c r="I8" s="238" t="str">
        <f t="shared" si="4"/>
        <v>Case RAL_2004_Reinorange:       s = "Reinorange"</v>
      </c>
      <c r="J8" s="238" t="str">
        <f t="shared" si="5"/>
        <v>Case RAL_2004_Reinorange:       n = 2004</v>
      </c>
      <c r="K8" s="238" t="str">
        <f t="shared" si="6"/>
        <v>Case 2004: c = RAL_2004_Reinorange</v>
      </c>
      <c r="L8" s="238" t="str">
        <f t="shared" si="7"/>
        <v>MColor.CIELab(56.89, 50.34, 49.81)</v>
      </c>
      <c r="M8" s="238" t="str">
        <f t="shared" si="0"/>
        <v>m_Arr(i) = TNamedRALColor("Reinorange", 2004, RALClassic.RAL_2004_Reinorange, MColor.CIELab(56.89, 50.34, 49.81)):              i = i + 1</v>
      </c>
      <c r="N8" s="7">
        <v>56.89</v>
      </c>
      <c r="O8" s="7">
        <v>50.34</v>
      </c>
      <c r="P8" s="7">
        <v>49.81</v>
      </c>
      <c r="Q8" s="8" t="s">
        <v>345</v>
      </c>
    </row>
    <row r="9" spans="1:17" x14ac:dyDescent="0.25">
      <c r="A9" s="3">
        <v>2005</v>
      </c>
      <c r="B9" s="5" t="s">
        <v>60</v>
      </c>
      <c r="C9" s="41"/>
      <c r="D9" t="s">
        <v>381</v>
      </c>
      <c r="E9" s="5" t="str">
        <f t="shared" si="1"/>
        <v>RAL_2005_Leuchtorange</v>
      </c>
      <c r="F9" s="237" t="s">
        <v>574</v>
      </c>
      <c r="G9" s="5" t="str">
        <f t="shared" si="2"/>
        <v>&amp;H1249FF&amp;</v>
      </c>
      <c r="H9" s="5">
        <f t="shared" si="3"/>
        <v>21</v>
      </c>
      <c r="I9" s="238" t="str">
        <f t="shared" si="4"/>
        <v>Case RAL_2005_Leuchtorange:     s = "Leuchtorange"</v>
      </c>
      <c r="J9" s="238" t="str">
        <f t="shared" si="5"/>
        <v>Case RAL_2005_Leuchtorange:     n = 2005</v>
      </c>
      <c r="K9" s="238" t="str">
        <f t="shared" si="6"/>
        <v>Case 2005: c = RAL_2005_Leuchtorange</v>
      </c>
      <c r="L9" s="238" t="str">
        <f t="shared" si="7"/>
        <v>MColor.CIELab(72.27, 87.78, 82.31)</v>
      </c>
      <c r="M9" s="238" t="str">
        <f t="shared" si="0"/>
        <v>m_Arr(i) = TNamedRALColor("Leuchtorange", 2005, RALClassic.RAL_2005_Leuchtorange, MColor.CIELab(72.27, 87.78, 82.31)):          i = i + 1</v>
      </c>
      <c r="N9" s="7">
        <v>72.27</v>
      </c>
      <c r="O9" s="7">
        <v>87.78</v>
      </c>
      <c r="P9" s="7">
        <v>82.31</v>
      </c>
      <c r="Q9" s="5"/>
    </row>
    <row r="10" spans="1:17" x14ac:dyDescent="0.25">
      <c r="A10" s="3">
        <v>2007</v>
      </c>
      <c r="B10" s="5" t="s">
        <v>61</v>
      </c>
      <c r="C10" s="42"/>
      <c r="D10" t="s">
        <v>382</v>
      </c>
      <c r="E10" s="5" t="str">
        <f t="shared" si="1"/>
        <v>RAL_2007_Leuchthellorange</v>
      </c>
      <c r="F10" s="237" t="s">
        <v>574</v>
      </c>
      <c r="G10" s="5" t="str">
        <f t="shared" si="2"/>
        <v>&amp;H21A4FF&amp;</v>
      </c>
      <c r="H10" s="5">
        <f t="shared" si="3"/>
        <v>25</v>
      </c>
      <c r="I10" s="238" t="str">
        <f t="shared" si="4"/>
        <v>Case RAL_2007_Leuchthellorange: s = "Leuchthellorange"</v>
      </c>
      <c r="J10" s="238" t="str">
        <f t="shared" si="5"/>
        <v>Case RAL_2007_Leuchthellorange: n = 2007</v>
      </c>
      <c r="K10" s="238" t="str">
        <f t="shared" si="6"/>
        <v>Case 2007: c = RAL_2007_Leuchthellorange</v>
      </c>
      <c r="L10" s="238" t="str">
        <f t="shared" si="7"/>
        <v>MColor.CIELab(76.86, 47.87, 97.63)</v>
      </c>
      <c r="M10" s="238" t="str">
        <f t="shared" si="0"/>
        <v>m_Arr(i) = TNamedRALColor("Leuchthellorange", 2007, RALClassic.RAL_2007_Leuchthellorange, MColor.CIELab(76.86, 47.87, 97.63)):  i = i + 1</v>
      </c>
      <c r="N10" s="7">
        <v>76.86</v>
      </c>
      <c r="O10" s="7">
        <v>47.87</v>
      </c>
      <c r="P10" s="7">
        <v>97.63</v>
      </c>
      <c r="Q10" s="5"/>
    </row>
    <row r="11" spans="1:17" x14ac:dyDescent="0.25">
      <c r="A11" s="3">
        <v>2008</v>
      </c>
      <c r="B11" s="5" t="s">
        <v>62</v>
      </c>
      <c r="C11" s="43"/>
      <c r="D11" t="s">
        <v>383</v>
      </c>
      <c r="E11" s="5" t="str">
        <f t="shared" si="1"/>
        <v>RAL_2008_Hellrotorange</v>
      </c>
      <c r="F11" s="237" t="s">
        <v>574</v>
      </c>
      <c r="G11" s="5" t="str">
        <f t="shared" si="2"/>
        <v>&amp;H216BED&amp;</v>
      </c>
      <c r="H11" s="5">
        <f t="shared" si="3"/>
        <v>22</v>
      </c>
      <c r="I11" s="238" t="str">
        <f t="shared" si="4"/>
        <v>Case RAL_2008_Hellrotorange:    s = "Hellrotorange"</v>
      </c>
      <c r="J11" s="238" t="str">
        <f t="shared" si="5"/>
        <v>Case RAL_2008_Hellrotorange:    n = 2008</v>
      </c>
      <c r="K11" s="238" t="str">
        <f t="shared" si="6"/>
        <v>Case 2008: c = RAL_2008_Hellrotorange</v>
      </c>
      <c r="L11" s="238" t="str">
        <f t="shared" si="7"/>
        <v>MColor.CIELab(60.33, 46.91, 60.52)</v>
      </c>
      <c r="M11" s="238" t="str">
        <f t="shared" si="0"/>
        <v>m_Arr(i) = TNamedRALColor("Hellrotorange", 2008, RALClassic.RAL_2008_Hellrotorange, MColor.CIELab(60.33, 46.91, 60.52)):        i = i + 1</v>
      </c>
      <c r="N11" s="7">
        <v>60.33</v>
      </c>
      <c r="O11" s="7">
        <v>46.91</v>
      </c>
      <c r="P11" s="7">
        <v>60.52</v>
      </c>
      <c r="Q11" s="5"/>
    </row>
    <row r="12" spans="1:17" x14ac:dyDescent="0.25">
      <c r="A12" s="3">
        <v>2009</v>
      </c>
      <c r="B12" s="5" t="s">
        <v>63</v>
      </c>
      <c r="C12" s="44"/>
      <c r="D12" t="s">
        <v>384</v>
      </c>
      <c r="E12" s="5" t="str">
        <f t="shared" si="1"/>
        <v>RAL_2009_Verkehrsorange</v>
      </c>
      <c r="F12" s="237" t="s">
        <v>574</v>
      </c>
      <c r="G12" s="5" t="str">
        <f t="shared" si="2"/>
        <v>&amp;H155E1&amp;</v>
      </c>
      <c r="H12" s="5">
        <f t="shared" si="3"/>
        <v>23</v>
      </c>
      <c r="I12" s="238" t="str">
        <f t="shared" si="4"/>
        <v>Case RAL_2009_Verkehrsorange:   s = "Verkehrsorange"</v>
      </c>
      <c r="J12" s="238" t="str">
        <f t="shared" si="5"/>
        <v>Case RAL_2009_Verkehrsorange:   n = 2009</v>
      </c>
      <c r="K12" s="238" t="str">
        <f t="shared" si="6"/>
        <v>Case 2009: c = RAL_2009_Verkehrsorange</v>
      </c>
      <c r="L12" s="238" t="str">
        <f t="shared" si="7"/>
        <v>MColor.CIELab(55.83, 47.79, 48.83)</v>
      </c>
      <c r="M12" s="238" t="str">
        <f t="shared" si="0"/>
        <v>m_Arr(i) = TNamedRALColor("Verkehrsorange", 2009, RALClassic.RAL_2009_Verkehrsorange, MColor.CIELab(55.83, 47.79, 48.83)):      i = i + 1</v>
      </c>
      <c r="N12" s="7">
        <v>55.83</v>
      </c>
      <c r="O12" s="7">
        <v>47.79</v>
      </c>
      <c r="P12" s="7">
        <v>48.83</v>
      </c>
      <c r="Q12" s="5"/>
    </row>
    <row r="13" spans="1:17" x14ac:dyDescent="0.25">
      <c r="A13" s="3">
        <v>2010</v>
      </c>
      <c r="B13" s="5" t="s">
        <v>64</v>
      </c>
      <c r="C13" s="45"/>
      <c r="D13" t="s">
        <v>385</v>
      </c>
      <c r="E13" s="5" t="str">
        <f t="shared" si="1"/>
        <v>RAL_2010_Signalorange</v>
      </c>
      <c r="F13" s="237" t="s">
        <v>574</v>
      </c>
      <c r="G13" s="5" t="str">
        <f t="shared" si="2"/>
        <v>&amp;H2F65D4&amp;</v>
      </c>
      <c r="H13" s="5">
        <f t="shared" si="3"/>
        <v>21</v>
      </c>
      <c r="I13" s="238" t="str">
        <f t="shared" si="4"/>
        <v>Case RAL_2010_Signalorange:     s = "Signalorange"</v>
      </c>
      <c r="J13" s="238" t="str">
        <f t="shared" si="5"/>
        <v>Case RAL_2010_Signalorange:     n = 2010</v>
      </c>
      <c r="K13" s="238" t="str">
        <f t="shared" si="6"/>
        <v>Case 2010: c = RAL_2010_Signalorange</v>
      </c>
      <c r="L13" s="238" t="str">
        <f t="shared" si="7"/>
        <v>MColor.CIELab(55.39, 40.1, 42.42)</v>
      </c>
      <c r="M13" s="238" t="str">
        <f t="shared" si="0"/>
        <v>m_Arr(i) = TNamedRALColor("Signalorange", 2010, RALClassic.RAL_2010_Signalorange, MColor.CIELab(55.39, 40.1, 42.42)):           i = i + 1</v>
      </c>
      <c r="N13" s="7">
        <v>55.39</v>
      </c>
      <c r="O13" s="7">
        <v>40.1</v>
      </c>
      <c r="P13" s="7">
        <v>42.42</v>
      </c>
      <c r="Q13" s="5"/>
    </row>
    <row r="14" spans="1:17" x14ac:dyDescent="0.25">
      <c r="A14" s="3">
        <v>2011</v>
      </c>
      <c r="B14" s="5" t="s">
        <v>65</v>
      </c>
      <c r="C14" s="46"/>
      <c r="D14" t="s">
        <v>386</v>
      </c>
      <c r="E14" s="5" t="str">
        <f t="shared" si="1"/>
        <v>RAL_2011_Tieforange</v>
      </c>
      <c r="F14" s="237" t="s">
        <v>574</v>
      </c>
      <c r="G14" s="5" t="str">
        <f t="shared" si="2"/>
        <v>&amp;HE6EE2&amp;</v>
      </c>
      <c r="H14" s="5">
        <f t="shared" si="3"/>
        <v>19</v>
      </c>
      <c r="I14" s="238" t="str">
        <f t="shared" si="4"/>
        <v>Case RAL_2011_Tieforange:       s = "Tieforange"</v>
      </c>
      <c r="J14" s="238" t="str">
        <f t="shared" si="5"/>
        <v>Case RAL_2011_Tieforange:       n = 2011</v>
      </c>
      <c r="K14" s="238" t="str">
        <f t="shared" si="6"/>
        <v>Case 2011: c = RAL_2011_Tieforange</v>
      </c>
      <c r="L14" s="238" t="str">
        <f t="shared" si="7"/>
        <v>MColor.CIELab(65, 35, 68)</v>
      </c>
      <c r="M14" s="238" t="str">
        <f t="shared" si="0"/>
        <v>m_Arr(i) = TNamedRALColor("Tieforange", 2011, RALClassic.RAL_2011_Tieforange, MColor.CIELab(65, 35, 68)):                       i = i + 1</v>
      </c>
      <c r="N14" s="7">
        <v>65</v>
      </c>
      <c r="O14" s="7">
        <v>35</v>
      </c>
      <c r="P14" s="7">
        <v>68</v>
      </c>
      <c r="Q14" s="5" t="s">
        <v>66</v>
      </c>
    </row>
    <row r="15" spans="1:17" x14ac:dyDescent="0.25">
      <c r="A15" s="3">
        <v>2012</v>
      </c>
      <c r="B15" s="5" t="s">
        <v>67</v>
      </c>
      <c r="C15" s="47"/>
      <c r="D15" t="s">
        <v>387</v>
      </c>
      <c r="E15" s="5" t="str">
        <f t="shared" si="1"/>
        <v>RAL_2012_Lachsorange</v>
      </c>
      <c r="F15" s="237" t="s">
        <v>574</v>
      </c>
      <c r="G15" s="5" t="str">
        <f t="shared" si="2"/>
        <v>&amp;H506ADB&amp;</v>
      </c>
      <c r="H15" s="5">
        <f t="shared" si="3"/>
        <v>20</v>
      </c>
      <c r="I15" s="238" t="str">
        <f t="shared" si="4"/>
        <v>Case RAL_2012_Lachsorange:      s = "Lachsorange"</v>
      </c>
      <c r="J15" s="238" t="str">
        <f t="shared" si="5"/>
        <v>Case RAL_2012_Lachsorange:      n = 2012</v>
      </c>
      <c r="K15" s="238" t="str">
        <f t="shared" si="6"/>
        <v>Case 2012: c = RAL_2012_Lachsorange</v>
      </c>
      <c r="L15" s="238" t="str">
        <f t="shared" si="7"/>
        <v>MColor.CIELab(57.75, 40.28, 30.66)</v>
      </c>
      <c r="M15" s="238" t="str">
        <f t="shared" si="0"/>
        <v>m_Arr(i) = TNamedRALColor("Lachsorange", 2012, RALClassic.RAL_2012_Lachsorange, MColor.CIELab(57.75, 40.28, 30.66)):            i = i + 1</v>
      </c>
      <c r="N15" s="7">
        <v>57.75</v>
      </c>
      <c r="O15" s="7">
        <v>40.28</v>
      </c>
      <c r="P15" s="7">
        <v>30.66</v>
      </c>
      <c r="Q15" s="5"/>
    </row>
    <row r="16" spans="1:17" x14ac:dyDescent="0.25">
      <c r="A16" s="3">
        <v>2013</v>
      </c>
      <c r="B16" s="5" t="s">
        <v>68</v>
      </c>
      <c r="C16" s="48"/>
      <c r="D16" t="s">
        <v>388</v>
      </c>
      <c r="E16" s="5" t="str">
        <f t="shared" si="1"/>
        <v>RAL_2013_Perlorange</v>
      </c>
      <c r="F16" s="237" t="s">
        <v>574</v>
      </c>
      <c r="G16" s="5" t="str">
        <f t="shared" si="2"/>
        <v>&amp;H274595&amp;</v>
      </c>
      <c r="H16" s="5">
        <f t="shared" si="3"/>
        <v>19</v>
      </c>
      <c r="I16" s="238" t="str">
        <f t="shared" si="4"/>
        <v>Case RAL_2013_Perlorange:       s = "Perlorange"</v>
      </c>
      <c r="J16" s="238" t="str">
        <f t="shared" si="5"/>
        <v>Case RAL_2013_Perlorange:       n = 2013</v>
      </c>
      <c r="K16" s="238" t="str">
        <f t="shared" si="6"/>
        <v>Case 2013: c = RAL_2013_Perlorange</v>
      </c>
      <c r="L16" s="238" t="str">
        <f t="shared" si="7"/>
        <v>MColor.CIELab(40.73, 32.14, 34.92)</v>
      </c>
      <c r="M16" s="238" t="str">
        <f t="shared" si="0"/>
        <v>m_Arr(i) = TNamedRALColor("Perlorange", 2013, RALClassic.RAL_2013_Perlorange, MColor.CIELab(40.73, 32.14, 34.92)):              i = i + 1</v>
      </c>
      <c r="N16" s="7">
        <v>40.729999999999997</v>
      </c>
      <c r="O16" s="7">
        <v>32.14</v>
      </c>
      <c r="P16" s="7">
        <v>34.92</v>
      </c>
      <c r="Q16" s="5"/>
    </row>
    <row r="17" spans="1:17" x14ac:dyDescent="0.25">
      <c r="A17" s="3">
        <v>2017</v>
      </c>
      <c r="B17" s="5" t="s">
        <v>573</v>
      </c>
      <c r="C17" s="49"/>
      <c r="D17" t="s">
        <v>389</v>
      </c>
      <c r="E17" s="5" t="str">
        <f t="shared" si="1"/>
        <v>RAL_2017_RALOrange</v>
      </c>
      <c r="F17" s="237" t="s">
        <v>574</v>
      </c>
      <c r="G17" s="5" t="str">
        <f t="shared" si="2"/>
        <v>&amp;H244FA&amp;</v>
      </c>
      <c r="H17" s="5">
        <f t="shared" si="3"/>
        <v>18</v>
      </c>
      <c r="I17" s="238" t="str">
        <f t="shared" si="4"/>
        <v>Case RAL_2017_RALOrange:        s = "RALOrange"</v>
      </c>
      <c r="J17" s="238" t="str">
        <f t="shared" si="5"/>
        <v>Case RAL_2017_RALOrange:        n = 2017</v>
      </c>
      <c r="K17" s="238" t="str">
        <f t="shared" si="6"/>
        <v>Case 2017: c = RAL_2017_RALOrange</v>
      </c>
      <c r="L17" s="238" t="str">
        <f t="shared" si="7"/>
        <v>MColor.CIELab(56.55, 66.92, 67.26)</v>
      </c>
      <c r="M17" s="238" t="str">
        <f t="shared" si="0"/>
        <v>m_Arr(i) = TNamedRALColor("RALOrange", 2017, RALClassic.RAL_2017_RALOrange, MColor.CIELab(56.55, 66.92, 67.26)):                i = i + 1</v>
      </c>
      <c r="N17" s="7">
        <v>56.55</v>
      </c>
      <c r="O17" s="7">
        <v>66.92</v>
      </c>
      <c r="P17" s="7">
        <v>67.260000000000005</v>
      </c>
      <c r="Q17" s="8" t="s">
        <v>69</v>
      </c>
    </row>
  </sheetData>
  <mergeCells count="1">
    <mergeCell ref="N3:P3"/>
  </mergeCells>
  <hyperlinks>
    <hyperlink ref="C3" r:id="rId1" location="cite_note-wiedergabe-5" display="https://de.wikipedia.org/wiki/RAL-Farbe - cite_note-wiedergabe-5" xr:uid="{00000000-0004-0000-0100-000000000000}"/>
    <hyperlink ref="N3" r:id="rId2" tooltip="Lab-Farbraum" display="https://de.wikipedia.org/wiki/Lab-Farbraum" xr:uid="{00000000-0004-0000-0100-000001000000}"/>
    <hyperlink ref="Q4" r:id="rId3" location="cite_note-FarbkarteB2-6" display="https://de.wikipedia.org/wiki/RAL-Farbe - cite_note-FarbkarteB2-6" xr:uid="{00000000-0004-0000-0100-000002000000}"/>
    <hyperlink ref="Q5" r:id="rId4" location="cite_note-FarbkarteB2-6" display="https://de.wikipedia.org/wiki/RAL-Farbe - cite_note-FarbkarteB2-6" xr:uid="{00000000-0004-0000-0100-000003000000}"/>
    <hyperlink ref="B8" r:id="rId5" tooltip="Reinorange" display="https://de.wikipedia.org/wiki/Reinorange" xr:uid="{00000000-0004-0000-0100-000004000000}"/>
    <hyperlink ref="Q8" r:id="rId6" tooltip="Erweiterter Katastrophenschutz" display="https://de.wikipedia.org/wiki/Erweiterter_Katastrophenschutz" xr:uid="{00000000-0004-0000-0100-000005000000}"/>
    <hyperlink ref="Q17" r:id="rId7" location="cite_note-11" display="https://de.wikipedia.org/wiki/RAL-Farbe - cite_note-11" xr:uid="{00000000-0004-0000-0100-000006000000}"/>
  </hyperlinks>
  <pageMargins left="0.7" right="0.7" top="0.78740157499999996" bottom="0.78740157499999996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Q29"/>
  <sheetViews>
    <sheetView workbookViewId="0"/>
  </sheetViews>
  <sheetFormatPr baseColWidth="10" defaultRowHeight="15" x14ac:dyDescent="0.25"/>
  <cols>
    <col min="2" max="2" width="18.7109375" customWidth="1"/>
    <col min="3" max="4" width="15.7109375" customWidth="1"/>
    <col min="5" max="5" width="30.7109375" customWidth="1"/>
    <col min="6" max="6" width="2" bestFit="1" customWidth="1"/>
    <col min="7" max="7" width="12.7109375" customWidth="1"/>
    <col min="8" max="8" width="5.7109375" customWidth="1"/>
    <col min="9" max="9" width="53.140625" bestFit="1" customWidth="1"/>
    <col min="10" max="10" width="41.85546875" bestFit="1" customWidth="1"/>
    <col min="11" max="11" width="38.7109375" bestFit="1" customWidth="1"/>
    <col min="12" max="12" width="38.7109375" customWidth="1"/>
    <col min="13" max="13" width="141.5703125" bestFit="1" customWidth="1"/>
    <col min="17" max="17" width="234.85546875" customWidth="1"/>
  </cols>
  <sheetData>
    <row r="1" spans="1:17" ht="18" x14ac:dyDescent="0.25">
      <c r="A1" s="2" t="s">
        <v>70</v>
      </c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3000</v>
      </c>
      <c r="B4" s="5" t="s">
        <v>71</v>
      </c>
      <c r="C4" s="50"/>
      <c r="D4" t="s">
        <v>390</v>
      </c>
      <c r="E4" s="5" t="str">
        <f>"RAL" &amp; "_" &amp; A4 &amp; "_" &amp; B4</f>
        <v>RAL_3000_Feuerrot</v>
      </c>
      <c r="F4" s="237" t="s">
        <v>574</v>
      </c>
      <c r="G4" s="5" t="str">
        <f>D4 &amp; "&amp;"</f>
        <v>&amp;H2029A7&amp;</v>
      </c>
      <c r="H4" s="5">
        <f>LEN(E4)</f>
        <v>17</v>
      </c>
      <c r="I4" s="238" t="str">
        <f>"Case "&amp; "RAL" &amp; "_"&amp; A4 &amp;"_"&amp;B4&amp;": "&amp;REPT(" ",25-LEN(E4))&amp;"s = """&amp;B4&amp;""""</f>
        <v>Case RAL_3000_Feuerrot:         s = "Feuerrot"</v>
      </c>
      <c r="J4" s="238" t="str">
        <f>"Case " &amp; "RAL" &amp; "_" &amp; A4 &amp;"_"&amp;B4&amp;": "&amp;REPT(" ",25-H4) &amp; "n = " &amp; A4</f>
        <v>Case RAL_3000_Feuerrot:         n = 3000</v>
      </c>
      <c r="K4" s="238" t="str">
        <f>"Case " &amp; A4 &amp; ": c = " &amp; "RAL" &amp; "_" &amp; A4 &amp; "_" &amp; B4</f>
        <v>Case 3000: c = RAL_3000_Feuerrot</v>
      </c>
      <c r="L4" s="238" t="str">
        <f xml:space="preserve"> "MColor.CIELab(" &amp; SUBSTITUTE(N4, ",", ".") &amp; ", " &amp; SUBSTITUTE(O4, ",", ".") &amp; ", " &amp; SUBSTITUTE(P4, ",", ".") &amp; ")"</f>
        <v>MColor.CIELab(44, 50, 39)</v>
      </c>
      <c r="M4" s="238" t="str">
        <f>"m_Arr(i) = TNamedRALColor(""" &amp; B4 &amp; """, " &amp; A4 &amp; ", RALClassic." &amp; E4 &amp; ", " &amp; L4 &amp; "): " &amp; REPT(" ", (75-LEN(L4))-2*H4) &amp; "i = i + 1"</f>
        <v>m_Arr(i) = TNamedRALColor("Feuerrot", 3000, RALClassic.RAL_3000_Feuerrot, MColor.CIELab(44, 50, 39)):                 i = i + 1</v>
      </c>
      <c r="N4" s="7">
        <v>44</v>
      </c>
      <c r="O4" s="7">
        <v>50</v>
      </c>
      <c r="P4" s="7">
        <v>39</v>
      </c>
      <c r="Q4" s="8" t="s">
        <v>72</v>
      </c>
    </row>
    <row r="5" spans="1:17" ht="15" customHeight="1" x14ac:dyDescent="0.25">
      <c r="A5" s="3">
        <v>3001</v>
      </c>
      <c r="B5" s="5" t="s">
        <v>73</v>
      </c>
      <c r="C5" s="51"/>
      <c r="D5" t="s">
        <v>391</v>
      </c>
      <c r="E5" s="5" t="str">
        <f t="shared" ref="E5:E28" si="0">"RAL" &amp; "_" &amp; A5 &amp; "_" &amp; B5</f>
        <v>RAL_3001_Signalrot</v>
      </c>
      <c r="F5" s="237" t="s">
        <v>574</v>
      </c>
      <c r="G5" s="5" t="str">
        <f t="shared" ref="G5:G28" si="1">D5 &amp; "&amp;"</f>
        <v>&amp;H23249B&amp;</v>
      </c>
      <c r="H5" s="5">
        <f t="shared" ref="H5:H28" si="2">LEN(E5)</f>
        <v>18</v>
      </c>
      <c r="I5" s="238" t="str">
        <f t="shared" ref="I5:I28" si="3">"Case "&amp; "RAL" &amp; "_"&amp; A5 &amp;"_"&amp;B5&amp;": "&amp;REPT(" ",25-LEN(E5))&amp;"s = """&amp;B5&amp;""""</f>
        <v>Case RAL_3001_Signalrot:        s = "Signalrot"</v>
      </c>
      <c r="J5" s="238" t="str">
        <f t="shared" ref="J5:J28" si="4">"Case " &amp; "RAL" &amp; "_" &amp; A5 &amp;"_"&amp;B5&amp;": "&amp;REPT(" ",25-H5) &amp; "n = " &amp; A5</f>
        <v>Case RAL_3001_Signalrot:        n = 3001</v>
      </c>
      <c r="K5" s="238" t="str">
        <f t="shared" ref="K5:K28" si="5">"Case " &amp; A5 &amp; ": c = " &amp; "RAL" &amp; "_" &amp; A5 &amp; "_" &amp; B5</f>
        <v>Case 3001: c = RAL_3001_Signalrot</v>
      </c>
      <c r="L5" s="238" t="str">
        <f t="shared" ref="L5:L28" si="6" xml:space="preserve"> "MColor.CIELab(" &amp; SUBSTITUTE(N5, ",", ".") &amp; ", " &amp; SUBSTITUTE(O5, ",", ".") &amp; ", " &amp; SUBSTITUTE(P5, ",", ".") &amp; ")"</f>
        <v>MColor.CIELab(41, 49, 33)</v>
      </c>
      <c r="M5" s="238" t="str">
        <f t="shared" ref="M5:M28" si="7">"m_Arr(i) = TNamedRALColor(""" &amp; B5 &amp; """, " &amp; A5 &amp; ", RALClassic." &amp; E5 &amp; ", " &amp; L5 &amp; "): " &amp; REPT(" ", (75-LEN(L5))-2*H5) &amp; "i = i + 1"</f>
        <v>m_Arr(i) = TNamedRALColor("Signalrot", 3001, RALClassic.RAL_3001_Signalrot, MColor.CIELab(41, 49, 33)):               i = i + 1</v>
      </c>
      <c r="N5" s="7">
        <v>41</v>
      </c>
      <c r="O5" s="7">
        <v>49</v>
      </c>
      <c r="P5" s="7">
        <v>33</v>
      </c>
      <c r="Q5" s="5" t="s">
        <v>74</v>
      </c>
    </row>
    <row r="6" spans="1:17" ht="15" customHeight="1" x14ac:dyDescent="0.25">
      <c r="A6" s="3">
        <v>3002</v>
      </c>
      <c r="B6" s="8" t="s">
        <v>75</v>
      </c>
      <c r="C6" s="52"/>
      <c r="D6" t="s">
        <v>392</v>
      </c>
      <c r="E6" s="5" t="str">
        <f t="shared" si="0"/>
        <v>RAL_3002_Karminrot</v>
      </c>
      <c r="F6" s="237" t="s">
        <v>574</v>
      </c>
      <c r="G6" s="5" t="str">
        <f t="shared" si="1"/>
        <v>&amp;H21239B&amp;</v>
      </c>
      <c r="H6" s="5">
        <f t="shared" si="2"/>
        <v>18</v>
      </c>
      <c r="I6" s="238" t="str">
        <f t="shared" si="3"/>
        <v>Case RAL_3002_Karminrot:        s = "Karminrot"</v>
      </c>
      <c r="J6" s="238" t="str">
        <f t="shared" si="4"/>
        <v>Case RAL_3002_Karminrot:        n = 3002</v>
      </c>
      <c r="K6" s="238" t="str">
        <f t="shared" si="5"/>
        <v>Case 3002: c = RAL_3002_Karminrot</v>
      </c>
      <c r="L6" s="238" t="str">
        <f t="shared" si="6"/>
        <v>MColor.CIELab(41, 49, 35)</v>
      </c>
      <c r="M6" s="238" t="str">
        <f t="shared" si="7"/>
        <v>m_Arr(i) = TNamedRALColor("Karminrot", 3002, RALClassic.RAL_3002_Karminrot, MColor.CIELab(41, 49, 35)):               i = i + 1</v>
      </c>
      <c r="N6" s="7">
        <v>41</v>
      </c>
      <c r="O6" s="7">
        <v>49</v>
      </c>
      <c r="P6" s="7">
        <v>35</v>
      </c>
      <c r="Q6" s="5"/>
    </row>
    <row r="7" spans="1:17" ht="15" customHeight="1" x14ac:dyDescent="0.25">
      <c r="A7" s="3">
        <v>3003</v>
      </c>
      <c r="B7" s="5" t="s">
        <v>76</v>
      </c>
      <c r="C7" s="53"/>
      <c r="D7" t="s">
        <v>393</v>
      </c>
      <c r="E7" s="5" t="str">
        <f t="shared" si="0"/>
        <v>RAL_3003_Rubinrot</v>
      </c>
      <c r="F7" s="237" t="s">
        <v>574</v>
      </c>
      <c r="G7" s="5" t="str">
        <f t="shared" si="1"/>
        <v>&amp;H221A86&amp;</v>
      </c>
      <c r="H7" s="5">
        <f t="shared" si="2"/>
        <v>17</v>
      </c>
      <c r="I7" s="238" t="str">
        <f t="shared" si="3"/>
        <v>Case RAL_3003_Rubinrot:         s = "Rubinrot"</v>
      </c>
      <c r="J7" s="238" t="str">
        <f t="shared" si="4"/>
        <v>Case RAL_3003_Rubinrot:         n = 3003</v>
      </c>
      <c r="K7" s="238" t="str">
        <f t="shared" si="5"/>
        <v>Case 3003: c = RAL_3003_Rubinrot</v>
      </c>
      <c r="L7" s="238" t="str">
        <f t="shared" si="6"/>
        <v>MColor.CIELab(36, 47, 27)</v>
      </c>
      <c r="M7" s="238" t="str">
        <f t="shared" si="7"/>
        <v>m_Arr(i) = TNamedRALColor("Rubinrot", 3003, RALClassic.RAL_3003_Rubinrot, MColor.CIELab(36, 47, 27)):                 i = i + 1</v>
      </c>
      <c r="N7" s="7">
        <v>36</v>
      </c>
      <c r="O7" s="7">
        <v>47</v>
      </c>
      <c r="P7" s="7">
        <v>27</v>
      </c>
      <c r="Q7" s="5" t="s">
        <v>77</v>
      </c>
    </row>
    <row r="8" spans="1:17" ht="15" customHeight="1" x14ac:dyDescent="0.25">
      <c r="A8" s="3">
        <v>3004</v>
      </c>
      <c r="B8" s="8" t="s">
        <v>78</v>
      </c>
      <c r="C8" s="54"/>
      <c r="D8" t="s">
        <v>394</v>
      </c>
      <c r="E8" s="5" t="str">
        <f t="shared" si="0"/>
        <v>RAL_3004_Purpurrot</v>
      </c>
      <c r="F8" s="237" t="s">
        <v>574</v>
      </c>
      <c r="G8" s="5" t="str">
        <f t="shared" si="1"/>
        <v>&amp;H231C6B&amp;</v>
      </c>
      <c r="H8" s="5">
        <f t="shared" si="2"/>
        <v>18</v>
      </c>
      <c r="I8" s="238" t="str">
        <f t="shared" si="3"/>
        <v>Case RAL_3004_Purpurrot:        s = "Purpurrot"</v>
      </c>
      <c r="J8" s="238" t="str">
        <f t="shared" si="4"/>
        <v>Case RAL_3004_Purpurrot:        n = 3004</v>
      </c>
      <c r="K8" s="238" t="str">
        <f t="shared" si="5"/>
        <v>Case 3004: c = RAL_3004_Purpurrot</v>
      </c>
      <c r="L8" s="238" t="str">
        <f t="shared" si="6"/>
        <v>MColor.CIELab(31, 38, 18)</v>
      </c>
      <c r="M8" s="238" t="str">
        <f t="shared" si="7"/>
        <v>m_Arr(i) = TNamedRALColor("Purpurrot", 3004, RALClassic.RAL_3004_Purpurrot, MColor.CIELab(31, 38, 18)):               i = i + 1</v>
      </c>
      <c r="N8" s="7">
        <v>31</v>
      </c>
      <c r="O8" s="7">
        <v>38</v>
      </c>
      <c r="P8" s="7">
        <v>18</v>
      </c>
      <c r="Q8" s="8" t="s">
        <v>79</v>
      </c>
    </row>
    <row r="9" spans="1:17" ht="15" customHeight="1" x14ac:dyDescent="0.25">
      <c r="A9" s="3">
        <v>3005</v>
      </c>
      <c r="B9" s="5" t="s">
        <v>80</v>
      </c>
      <c r="C9" s="55"/>
      <c r="D9" t="s">
        <v>395</v>
      </c>
      <c r="E9" s="5" t="str">
        <f t="shared" si="0"/>
        <v>RAL_3005_Weinrot</v>
      </c>
      <c r="F9" s="237" t="s">
        <v>574</v>
      </c>
      <c r="G9" s="5" t="str">
        <f t="shared" si="1"/>
        <v>&amp;H1F1959&amp;</v>
      </c>
      <c r="H9" s="5">
        <f t="shared" si="2"/>
        <v>16</v>
      </c>
      <c r="I9" s="238" t="str">
        <f t="shared" si="3"/>
        <v>Case RAL_3005_Weinrot:          s = "Weinrot"</v>
      </c>
      <c r="J9" s="238" t="str">
        <f t="shared" si="4"/>
        <v>Case RAL_3005_Weinrot:          n = 3005</v>
      </c>
      <c r="K9" s="238" t="str">
        <f t="shared" si="5"/>
        <v>Case 3005: c = RAL_3005_Weinrot</v>
      </c>
      <c r="L9" s="238" t="str">
        <f t="shared" si="6"/>
        <v>MColor.CIELab(26, 33, 15)</v>
      </c>
      <c r="M9" s="238" t="str">
        <f t="shared" si="7"/>
        <v>m_Arr(i) = TNamedRALColor("Weinrot", 3005, RALClassic.RAL_3005_Weinrot, MColor.CIELab(26, 33, 15)):                   i = i + 1</v>
      </c>
      <c r="N9" s="7">
        <v>26</v>
      </c>
      <c r="O9" s="7">
        <v>33</v>
      </c>
      <c r="P9" s="7">
        <v>15</v>
      </c>
      <c r="Q9" s="8" t="s">
        <v>81</v>
      </c>
    </row>
    <row r="10" spans="1:17" ht="15" customHeight="1" x14ac:dyDescent="0.25">
      <c r="A10" s="3">
        <v>3007</v>
      </c>
      <c r="B10" s="5" t="s">
        <v>82</v>
      </c>
      <c r="C10" s="56"/>
      <c r="D10" t="s">
        <v>396</v>
      </c>
      <c r="E10" s="5" t="str">
        <f t="shared" si="0"/>
        <v>RAL_3007_Schwarzrot</v>
      </c>
      <c r="F10" s="237" t="s">
        <v>574</v>
      </c>
      <c r="G10" s="5" t="str">
        <f t="shared" si="1"/>
        <v>&amp;H22203E&amp;</v>
      </c>
      <c r="H10" s="5">
        <f t="shared" si="2"/>
        <v>19</v>
      </c>
      <c r="I10" s="238" t="str">
        <f t="shared" si="3"/>
        <v>Case RAL_3007_Schwarzrot:       s = "Schwarzrot"</v>
      </c>
      <c r="J10" s="238" t="str">
        <f t="shared" si="4"/>
        <v>Case RAL_3007_Schwarzrot:       n = 3007</v>
      </c>
      <c r="K10" s="238" t="str">
        <f t="shared" si="5"/>
        <v>Case 3007: c = RAL_3007_Schwarzrot</v>
      </c>
      <c r="L10" s="238" t="str">
        <f t="shared" si="6"/>
        <v>MColor.CIELab(23, 17, 7)</v>
      </c>
      <c r="M10" s="238" t="str">
        <f t="shared" si="7"/>
        <v>m_Arr(i) = TNamedRALColor("Schwarzrot", 3007, RALClassic.RAL_3007_Schwarzrot, MColor.CIELab(23, 17, 7)):              i = i + 1</v>
      </c>
      <c r="N10" s="7">
        <v>23</v>
      </c>
      <c r="O10" s="7">
        <v>17</v>
      </c>
      <c r="P10" s="7">
        <v>7</v>
      </c>
      <c r="Q10" s="8" t="s">
        <v>83</v>
      </c>
    </row>
    <row r="11" spans="1:17" ht="15" customHeight="1" x14ac:dyDescent="0.25">
      <c r="A11" s="3">
        <v>3009</v>
      </c>
      <c r="B11" s="8" t="s">
        <v>84</v>
      </c>
      <c r="C11" s="57"/>
      <c r="D11" t="s">
        <v>397</v>
      </c>
      <c r="E11" s="5" t="str">
        <f t="shared" si="0"/>
        <v>RAL_3009_Oxidrot</v>
      </c>
      <c r="F11" s="237" t="s">
        <v>574</v>
      </c>
      <c r="G11" s="5" t="str">
        <f t="shared" si="1"/>
        <v>&amp;H2C336D&amp;</v>
      </c>
      <c r="H11" s="5">
        <f t="shared" si="2"/>
        <v>16</v>
      </c>
      <c r="I11" s="238" t="str">
        <f t="shared" si="3"/>
        <v>Case RAL_3009_Oxidrot:          s = "Oxidrot"</v>
      </c>
      <c r="J11" s="238" t="str">
        <f t="shared" si="4"/>
        <v>Case RAL_3009_Oxidrot:          n = 3009</v>
      </c>
      <c r="K11" s="238" t="str">
        <f t="shared" si="5"/>
        <v>Case 3009: c = RAL_3009_Oxidrot</v>
      </c>
      <c r="L11" s="238" t="str">
        <f t="shared" si="6"/>
        <v>MColor.CIELab(29.27, 24.59, 16.51)</v>
      </c>
      <c r="M11" s="238" t="str">
        <f t="shared" si="7"/>
        <v>m_Arr(i) = TNamedRALColor("Oxidrot", 3009, RALClassic.RAL_3009_Oxidrot, MColor.CIELab(29.27, 24.59, 16.51)):          i = i + 1</v>
      </c>
      <c r="N11" s="7">
        <v>29.27</v>
      </c>
      <c r="O11" s="7">
        <v>24.59</v>
      </c>
      <c r="P11" s="7">
        <v>16.510000000000002</v>
      </c>
      <c r="Q11" s="5"/>
    </row>
    <row r="12" spans="1:17" ht="15" customHeight="1" x14ac:dyDescent="0.25">
      <c r="A12" s="3">
        <v>3011</v>
      </c>
      <c r="B12" s="5" t="s">
        <v>85</v>
      </c>
      <c r="C12" s="58"/>
      <c r="D12" t="s">
        <v>398</v>
      </c>
      <c r="E12" s="5" t="str">
        <f t="shared" si="0"/>
        <v>RAL_3011_Braunrot</v>
      </c>
      <c r="F12" s="237" t="s">
        <v>574</v>
      </c>
      <c r="G12" s="5" t="str">
        <f t="shared" si="1"/>
        <v>&amp;H2C297E&amp;</v>
      </c>
      <c r="H12" s="5">
        <f t="shared" si="2"/>
        <v>17</v>
      </c>
      <c r="I12" s="238" t="str">
        <f t="shared" si="3"/>
        <v>Case RAL_3011_Braunrot:         s = "Braunrot"</v>
      </c>
      <c r="J12" s="238" t="str">
        <f t="shared" si="4"/>
        <v>Case RAL_3011_Braunrot:         n = 3011</v>
      </c>
      <c r="K12" s="238" t="str">
        <f t="shared" si="5"/>
        <v>Case 3011: c = RAL_3011_Braunrot</v>
      </c>
      <c r="L12" s="238" t="str">
        <f t="shared" si="6"/>
        <v>MColor.CIELab(34.52, 28.66, 13.44)</v>
      </c>
      <c r="M12" s="238" t="str">
        <f t="shared" si="7"/>
        <v>m_Arr(i) = TNamedRALColor("Braunrot", 3011, RALClassic.RAL_3011_Braunrot, MColor.CIELab(34.52, 28.66, 13.44)):        i = i + 1</v>
      </c>
      <c r="N12" s="7">
        <v>34.520000000000003</v>
      </c>
      <c r="O12" s="7">
        <v>28.66</v>
      </c>
      <c r="P12" s="7">
        <v>13.44</v>
      </c>
      <c r="Q12" s="5"/>
    </row>
    <row r="13" spans="1:17" ht="15" customHeight="1" x14ac:dyDescent="0.25">
      <c r="A13" s="3">
        <v>3012</v>
      </c>
      <c r="B13" s="5" t="s">
        <v>86</v>
      </c>
      <c r="C13" s="59"/>
      <c r="D13" t="s">
        <v>399</v>
      </c>
      <c r="E13" s="5" t="str">
        <f t="shared" si="0"/>
        <v>RAL_3012_Beigerot</v>
      </c>
      <c r="F13" s="237" t="s">
        <v>574</v>
      </c>
      <c r="G13" s="5" t="str">
        <f t="shared" si="1"/>
        <v>&amp;H738DCB&amp;</v>
      </c>
      <c r="H13" s="5">
        <f t="shared" si="2"/>
        <v>17</v>
      </c>
      <c r="I13" s="238" t="str">
        <f t="shared" si="3"/>
        <v>Case RAL_3012_Beigerot:         s = "Beigerot"</v>
      </c>
      <c r="J13" s="238" t="str">
        <f t="shared" si="4"/>
        <v>Case RAL_3012_Beigerot:         n = 3012</v>
      </c>
      <c r="K13" s="238" t="str">
        <f t="shared" si="5"/>
        <v>Case 3012: c = RAL_3012_Beigerot</v>
      </c>
      <c r="L13" s="238" t="str">
        <f t="shared" si="6"/>
        <v>MColor.CIELab(63.81, 20.79, 20.45)</v>
      </c>
      <c r="M13" s="238" t="str">
        <f t="shared" si="7"/>
        <v>m_Arr(i) = TNamedRALColor("Beigerot", 3012, RALClassic.RAL_3012_Beigerot, MColor.CIELab(63.81, 20.79, 20.45)):        i = i + 1</v>
      </c>
      <c r="N13" s="7">
        <v>63.81</v>
      </c>
      <c r="O13" s="7">
        <v>20.79</v>
      </c>
      <c r="P13" s="7">
        <v>20.45</v>
      </c>
      <c r="Q13" s="5"/>
    </row>
    <row r="14" spans="1:17" ht="15" customHeight="1" x14ac:dyDescent="0.25">
      <c r="A14" s="3">
        <v>3013</v>
      </c>
      <c r="B14" s="5" t="s">
        <v>87</v>
      </c>
      <c r="C14" s="60"/>
      <c r="D14" t="s">
        <v>400</v>
      </c>
      <c r="E14" s="5" t="str">
        <f t="shared" si="0"/>
        <v>RAL_3013_Tomatenrot</v>
      </c>
      <c r="F14" s="237" t="s">
        <v>574</v>
      </c>
      <c r="G14" s="5" t="str">
        <f t="shared" si="1"/>
        <v>&amp;H2E329C&amp;</v>
      </c>
      <c r="H14" s="5">
        <f t="shared" si="2"/>
        <v>19</v>
      </c>
      <c r="I14" s="238" t="str">
        <f t="shared" si="3"/>
        <v>Case RAL_3013_Tomatenrot:       s = "Tomatenrot"</v>
      </c>
      <c r="J14" s="238" t="str">
        <f t="shared" si="4"/>
        <v>Case RAL_3013_Tomatenrot:       n = 3013</v>
      </c>
      <c r="K14" s="238" t="str">
        <f t="shared" si="5"/>
        <v>Case 3013: c = RAL_3013_Tomatenrot</v>
      </c>
      <c r="L14" s="238" t="str">
        <f t="shared" si="6"/>
        <v>MColor.CIELab(40.7, 36.67, 21.37)</v>
      </c>
      <c r="M14" s="238" t="str">
        <f t="shared" si="7"/>
        <v>m_Arr(i) = TNamedRALColor("Tomatenrot", 3013, RALClassic.RAL_3013_Tomatenrot, MColor.CIELab(40.7, 36.67, 21.37)):     i = i + 1</v>
      </c>
      <c r="N14" s="7">
        <v>40.700000000000003</v>
      </c>
      <c r="O14" s="7">
        <v>36.67</v>
      </c>
      <c r="P14" s="7">
        <v>21.37</v>
      </c>
      <c r="Q14" s="5"/>
    </row>
    <row r="15" spans="1:17" ht="15" customHeight="1" x14ac:dyDescent="0.25">
      <c r="A15" s="3">
        <v>3014</v>
      </c>
      <c r="B15" s="5" t="s">
        <v>88</v>
      </c>
      <c r="C15" s="61"/>
      <c r="D15" t="s">
        <v>401</v>
      </c>
      <c r="E15" s="5" t="str">
        <f t="shared" si="0"/>
        <v>RAL_3014_Altrosa</v>
      </c>
      <c r="F15" s="237" t="s">
        <v>574</v>
      </c>
      <c r="G15" s="5" t="str">
        <f t="shared" si="1"/>
        <v>&amp;H7974D4&amp;</v>
      </c>
      <c r="H15" s="5">
        <f t="shared" si="2"/>
        <v>16</v>
      </c>
      <c r="I15" s="238" t="str">
        <f t="shared" si="3"/>
        <v>Case RAL_3014_Altrosa:          s = "Altrosa"</v>
      </c>
      <c r="J15" s="238" t="str">
        <f t="shared" si="4"/>
        <v>Case RAL_3014_Altrosa:          n = 3014</v>
      </c>
      <c r="K15" s="238" t="str">
        <f t="shared" si="5"/>
        <v>Case 3014: c = RAL_3014_Altrosa</v>
      </c>
      <c r="L15" s="238" t="str">
        <f t="shared" si="6"/>
        <v>MColor.CIELab(60.17, 32.49, 12.58)</v>
      </c>
      <c r="M15" s="238" t="str">
        <f t="shared" si="7"/>
        <v>m_Arr(i) = TNamedRALColor("Altrosa", 3014, RALClassic.RAL_3014_Altrosa, MColor.CIELab(60.17, 32.49, 12.58)):          i = i + 1</v>
      </c>
      <c r="N15" s="7">
        <v>60.17</v>
      </c>
      <c r="O15" s="7">
        <v>32.49</v>
      </c>
      <c r="P15" s="7">
        <v>12.58</v>
      </c>
      <c r="Q15" s="5"/>
    </row>
    <row r="16" spans="1:17" ht="15" customHeight="1" x14ac:dyDescent="0.25">
      <c r="A16" s="3">
        <v>3015</v>
      </c>
      <c r="B16" s="5" t="s">
        <v>89</v>
      </c>
      <c r="C16" s="62"/>
      <c r="D16" t="s">
        <v>402</v>
      </c>
      <c r="E16" s="5" t="str">
        <f t="shared" si="0"/>
        <v>RAL_3015_Hellrosa</v>
      </c>
      <c r="F16" s="237" t="s">
        <v>574</v>
      </c>
      <c r="G16" s="5" t="str">
        <f t="shared" si="1"/>
        <v>&amp;HA69FD7&amp;</v>
      </c>
      <c r="H16" s="5">
        <f t="shared" si="2"/>
        <v>17</v>
      </c>
      <c r="I16" s="238" t="str">
        <f t="shared" si="3"/>
        <v>Case RAL_3015_Hellrosa:         s = "Hellrosa"</v>
      </c>
      <c r="J16" s="238" t="str">
        <f t="shared" si="4"/>
        <v>Case RAL_3015_Hellrosa:         n = 3015</v>
      </c>
      <c r="K16" s="238" t="str">
        <f t="shared" si="5"/>
        <v>Case 3015: c = RAL_3015_Hellrosa</v>
      </c>
      <c r="L16" s="238" t="str">
        <f t="shared" si="6"/>
        <v>MColor.CIELab(71.23, 21.59, 4.98)</v>
      </c>
      <c r="M16" s="238" t="str">
        <f t="shared" si="7"/>
        <v>m_Arr(i) = TNamedRALColor("Hellrosa", 3015, RALClassic.RAL_3015_Hellrosa, MColor.CIELab(71.23, 21.59, 4.98)):         i = i + 1</v>
      </c>
      <c r="N16" s="7">
        <v>71.23</v>
      </c>
      <c r="O16" s="7">
        <v>21.59</v>
      </c>
      <c r="P16" s="7">
        <v>4.9800000000000004</v>
      </c>
      <c r="Q16" s="5"/>
    </row>
    <row r="17" spans="1:17" ht="15" customHeight="1" x14ac:dyDescent="0.25">
      <c r="A17" s="3">
        <v>3016</v>
      </c>
      <c r="B17" s="5" t="s">
        <v>90</v>
      </c>
      <c r="C17" s="63"/>
      <c r="D17" t="s">
        <v>403</v>
      </c>
      <c r="E17" s="5" t="str">
        <f t="shared" si="0"/>
        <v>RAL_3016_Korallenrot</v>
      </c>
      <c r="F17" s="237" t="s">
        <v>574</v>
      </c>
      <c r="G17" s="5" t="str">
        <f t="shared" si="1"/>
        <v>&amp;H3440AC&amp;</v>
      </c>
      <c r="H17" s="5">
        <f t="shared" si="2"/>
        <v>20</v>
      </c>
      <c r="I17" s="238" t="str">
        <f t="shared" si="3"/>
        <v>Case RAL_3016_Korallenrot:      s = "Korallenrot"</v>
      </c>
      <c r="J17" s="238" t="str">
        <f t="shared" si="4"/>
        <v>Case RAL_3016_Korallenrot:      n = 3016</v>
      </c>
      <c r="K17" s="238" t="str">
        <f t="shared" si="5"/>
        <v>Case 3016: c = RAL_3016_Korallenrot</v>
      </c>
      <c r="L17" s="238" t="str">
        <f t="shared" si="6"/>
        <v>MColor.CIELab(44.7, 37.92, 23.96)</v>
      </c>
      <c r="M17" s="238" t="str">
        <f t="shared" si="7"/>
        <v>m_Arr(i) = TNamedRALColor("Korallenrot", 3016, RALClassic.RAL_3016_Korallenrot, MColor.CIELab(44.7, 37.92, 23.96)):   i = i + 1</v>
      </c>
      <c r="N17" s="7">
        <v>44.7</v>
      </c>
      <c r="O17" s="7">
        <v>37.92</v>
      </c>
      <c r="P17" s="7">
        <v>23.96</v>
      </c>
      <c r="Q17" s="5"/>
    </row>
    <row r="18" spans="1:17" ht="15" customHeight="1" x14ac:dyDescent="0.25">
      <c r="A18" s="3">
        <v>3017</v>
      </c>
      <c r="B18" s="5" t="s">
        <v>91</v>
      </c>
      <c r="C18" s="64"/>
      <c r="D18" t="s">
        <v>404</v>
      </c>
      <c r="E18" s="5" t="str">
        <f t="shared" si="0"/>
        <v>RAL_3017_Rosé</v>
      </c>
      <c r="F18" s="237" t="s">
        <v>574</v>
      </c>
      <c r="G18" s="5" t="str">
        <f t="shared" si="1"/>
        <v>&amp;H5F54D3&amp;</v>
      </c>
      <c r="H18" s="5">
        <f t="shared" si="2"/>
        <v>13</v>
      </c>
      <c r="I18" s="238" t="str">
        <f t="shared" si="3"/>
        <v>Case RAL_3017_Rosé:             s = "Rosé"</v>
      </c>
      <c r="J18" s="238" t="str">
        <f t="shared" si="4"/>
        <v>Case RAL_3017_Rosé:             n = 3017</v>
      </c>
      <c r="K18" s="238" t="str">
        <f t="shared" si="5"/>
        <v>Case 3017: c = RAL_3017_Rosé</v>
      </c>
      <c r="L18" s="238" t="str">
        <f t="shared" si="6"/>
        <v>MColor.CIELab(54.24, 44.26, 16.87)</v>
      </c>
      <c r="M18" s="238" t="str">
        <f t="shared" si="7"/>
        <v>m_Arr(i) = TNamedRALColor("Rosé", 3017, RALClassic.RAL_3017_Rosé, MColor.CIELab(54.24, 44.26, 16.87)):                i = i + 1</v>
      </c>
      <c r="N18" s="7">
        <v>54.24</v>
      </c>
      <c r="O18" s="7">
        <v>44.26</v>
      </c>
      <c r="P18" s="7">
        <v>16.87</v>
      </c>
      <c r="Q18" s="5"/>
    </row>
    <row r="19" spans="1:17" ht="15" customHeight="1" x14ac:dyDescent="0.25">
      <c r="A19" s="3">
        <v>3018</v>
      </c>
      <c r="B19" s="5" t="s">
        <v>92</v>
      </c>
      <c r="C19" s="65"/>
      <c r="D19" t="s">
        <v>405</v>
      </c>
      <c r="E19" s="5" t="str">
        <f t="shared" si="0"/>
        <v>RAL_3018_Erdbeerrot</v>
      </c>
      <c r="F19" s="237" t="s">
        <v>574</v>
      </c>
      <c r="G19" s="5" t="str">
        <f t="shared" si="1"/>
        <v>&amp;H5241D1&amp;</v>
      </c>
      <c r="H19" s="5">
        <f t="shared" si="2"/>
        <v>19</v>
      </c>
      <c r="I19" s="238" t="str">
        <f t="shared" si="3"/>
        <v>Case RAL_3018_Erdbeerrot:       s = "Erdbeerrot"</v>
      </c>
      <c r="J19" s="238" t="str">
        <f t="shared" si="4"/>
        <v>Case RAL_3018_Erdbeerrot:       n = 3018</v>
      </c>
      <c r="K19" s="238" t="str">
        <f t="shared" si="5"/>
        <v>Case 3018: c = RAL_3018_Erdbeerrot</v>
      </c>
      <c r="L19" s="238" t="str">
        <f t="shared" si="6"/>
        <v>MColor.CIELab(50.77, 49.15, 19.86)</v>
      </c>
      <c r="M19" s="238" t="str">
        <f t="shared" si="7"/>
        <v>m_Arr(i) = TNamedRALColor("Erdbeerrot", 3018, RALClassic.RAL_3018_Erdbeerrot, MColor.CIELab(50.77, 49.15, 19.86)):    i = i + 1</v>
      </c>
      <c r="N19" s="7">
        <v>50.77</v>
      </c>
      <c r="O19" s="7">
        <v>49.15</v>
      </c>
      <c r="P19" s="7">
        <v>19.86</v>
      </c>
      <c r="Q19" s="5"/>
    </row>
    <row r="20" spans="1:17" ht="15" customHeight="1" x14ac:dyDescent="0.25">
      <c r="A20" s="3">
        <v>3020</v>
      </c>
      <c r="B20" s="8" t="s">
        <v>93</v>
      </c>
      <c r="C20" s="66"/>
      <c r="D20" t="s">
        <v>406</v>
      </c>
      <c r="E20" s="5" t="str">
        <f t="shared" si="0"/>
        <v>RAL_3020_Verkehrsrot</v>
      </c>
      <c r="F20" s="237" t="s">
        <v>574</v>
      </c>
      <c r="G20" s="5" t="str">
        <f t="shared" si="1"/>
        <v>&amp;H101EBB&amp;</v>
      </c>
      <c r="H20" s="5">
        <f t="shared" si="2"/>
        <v>20</v>
      </c>
      <c r="I20" s="238" t="str">
        <f t="shared" si="3"/>
        <v>Case RAL_3020_Verkehrsrot:      s = "Verkehrsrot"</v>
      </c>
      <c r="J20" s="238" t="str">
        <f t="shared" si="4"/>
        <v>Case RAL_3020_Verkehrsrot:      n = 3020</v>
      </c>
      <c r="K20" s="238" t="str">
        <f t="shared" si="5"/>
        <v>Case 3020: c = RAL_3020_Verkehrsrot</v>
      </c>
      <c r="L20" s="238" t="str">
        <f t="shared" si="6"/>
        <v>MColor.CIELab(46, 59, 54)</v>
      </c>
      <c r="M20" s="238" t="str">
        <f t="shared" si="7"/>
        <v>m_Arr(i) = TNamedRALColor("Verkehrsrot", 3020, RALClassic.RAL_3020_Verkehrsrot, MColor.CIELab(46, 59, 54)):           i = i + 1</v>
      </c>
      <c r="N20" s="7">
        <v>46</v>
      </c>
      <c r="O20" s="7">
        <v>59</v>
      </c>
      <c r="P20" s="7">
        <v>54</v>
      </c>
      <c r="Q20" s="5" t="s">
        <v>94</v>
      </c>
    </row>
    <row r="21" spans="1:17" ht="15" customHeight="1" x14ac:dyDescent="0.25">
      <c r="A21" s="3">
        <v>3022</v>
      </c>
      <c r="B21" s="5" t="s">
        <v>95</v>
      </c>
      <c r="C21" s="67"/>
      <c r="D21" t="s">
        <v>407</v>
      </c>
      <c r="E21" s="5" t="str">
        <f t="shared" si="0"/>
        <v>RAL_3022_Lachsrot</v>
      </c>
      <c r="F21" s="237" t="s">
        <v>574</v>
      </c>
      <c r="G21" s="5" t="str">
        <f t="shared" si="1"/>
        <v>&amp;H5568CC&amp;</v>
      </c>
      <c r="H21" s="5">
        <f t="shared" si="2"/>
        <v>17</v>
      </c>
      <c r="I21" s="238" t="str">
        <f t="shared" si="3"/>
        <v>Case RAL_3022_Lachsrot:         s = "Lachsrot"</v>
      </c>
      <c r="J21" s="238" t="str">
        <f t="shared" si="4"/>
        <v>Case RAL_3022_Lachsrot:         n = 3022</v>
      </c>
      <c r="K21" s="238" t="str">
        <f t="shared" si="5"/>
        <v>Case 3022: c = RAL_3022_Lachsrot</v>
      </c>
      <c r="L21" s="238" t="str">
        <f t="shared" si="6"/>
        <v>MColor.CIELab(56.06, 38.9, 29.7)</v>
      </c>
      <c r="M21" s="238" t="str">
        <f t="shared" si="7"/>
        <v>m_Arr(i) = TNamedRALColor("Lachsrot", 3022, RALClassic.RAL_3022_Lachsrot, MColor.CIELab(56.06, 38.9, 29.7)):          i = i + 1</v>
      </c>
      <c r="N21" s="7">
        <v>56.06</v>
      </c>
      <c r="O21" s="7">
        <v>38.9</v>
      </c>
      <c r="P21" s="7">
        <v>29.7</v>
      </c>
      <c r="Q21" s="5"/>
    </row>
    <row r="22" spans="1:17" ht="15" customHeight="1" x14ac:dyDescent="0.25">
      <c r="A22" s="3">
        <v>3024</v>
      </c>
      <c r="B22" s="5" t="s">
        <v>96</v>
      </c>
      <c r="C22" s="68"/>
      <c r="D22" t="s">
        <v>408</v>
      </c>
      <c r="E22" s="5" t="str">
        <f t="shared" si="0"/>
        <v>RAL_3024_Leuchtrot</v>
      </c>
      <c r="F22" s="237" t="s">
        <v>574</v>
      </c>
      <c r="G22" s="5" t="str">
        <f t="shared" si="1"/>
        <v>&amp;H212DFF&amp;</v>
      </c>
      <c r="H22" s="5">
        <f t="shared" si="2"/>
        <v>18</v>
      </c>
      <c r="I22" s="238" t="str">
        <f t="shared" si="3"/>
        <v>Case RAL_3024_Leuchtrot:        s = "Leuchtrot"</v>
      </c>
      <c r="J22" s="238" t="str">
        <f t="shared" si="4"/>
        <v>Case RAL_3024_Leuchtrot:        n = 3024</v>
      </c>
      <c r="K22" s="238" t="str">
        <f t="shared" si="5"/>
        <v>Case 3024: c = RAL_3024_Leuchtrot</v>
      </c>
      <c r="L22" s="238" t="str">
        <f t="shared" si="6"/>
        <v>MColor.CIELab(51.32, 82.52, 71.62)</v>
      </c>
      <c r="M22" s="238" t="str">
        <f t="shared" si="7"/>
        <v>m_Arr(i) = TNamedRALColor("Leuchtrot", 3024, RALClassic.RAL_3024_Leuchtrot, MColor.CIELab(51.32, 82.52, 71.62)):      i = i + 1</v>
      </c>
      <c r="N22" s="7">
        <v>51.32</v>
      </c>
      <c r="O22" s="7">
        <v>82.52</v>
      </c>
      <c r="P22" s="7">
        <v>71.62</v>
      </c>
      <c r="Q22" s="5" t="s">
        <v>97</v>
      </c>
    </row>
    <row r="23" spans="1:17" ht="15" customHeight="1" x14ac:dyDescent="0.25">
      <c r="A23" s="3">
        <v>3026</v>
      </c>
      <c r="B23" s="5" t="s">
        <v>98</v>
      </c>
      <c r="C23" s="69"/>
      <c r="D23" t="s">
        <v>409</v>
      </c>
      <c r="E23" s="5" t="str">
        <f t="shared" si="0"/>
        <v>RAL_3026_Leuchthellrot</v>
      </c>
      <c r="F23" s="237" t="s">
        <v>574</v>
      </c>
      <c r="G23" s="5" t="str">
        <f t="shared" si="1"/>
        <v>&amp;HFF&amp;</v>
      </c>
      <c r="H23" s="5">
        <f t="shared" si="2"/>
        <v>22</v>
      </c>
      <c r="I23" s="238" t="str">
        <f t="shared" si="3"/>
        <v>Case RAL_3026_Leuchthellrot:    s = "Leuchthellrot"</v>
      </c>
      <c r="J23" s="238" t="str">
        <f t="shared" si="4"/>
        <v>Case RAL_3026_Leuchthellrot:    n = 3026</v>
      </c>
      <c r="K23" s="238" t="str">
        <f t="shared" si="5"/>
        <v>Case 3026: c = RAL_3026_Leuchthellrot</v>
      </c>
      <c r="L23" s="238" t="str">
        <f t="shared" si="6"/>
        <v>MColor.CIELab(59, 70, 59)</v>
      </c>
      <c r="M23" s="238" t="str">
        <f t="shared" si="7"/>
        <v>m_Arr(i) = TNamedRALColor("Leuchthellrot", 3026, RALClassic.RAL_3026_Leuchthellrot, MColor.CIELab(59, 70, 59)):       i = i + 1</v>
      </c>
      <c r="N23" s="7">
        <v>59</v>
      </c>
      <c r="O23" s="7">
        <v>70</v>
      </c>
      <c r="P23" s="7">
        <v>59</v>
      </c>
      <c r="Q23" s="5" t="s">
        <v>99</v>
      </c>
    </row>
    <row r="24" spans="1:17" ht="15" customHeight="1" x14ac:dyDescent="0.25">
      <c r="A24" s="3">
        <v>3027</v>
      </c>
      <c r="B24" s="8" t="s">
        <v>100</v>
      </c>
      <c r="C24" s="70"/>
      <c r="D24" t="s">
        <v>410</v>
      </c>
      <c r="E24" s="5" t="str">
        <f t="shared" si="0"/>
        <v>RAL_3027_Himbeerrot</v>
      </c>
      <c r="F24" s="237" t="s">
        <v>574</v>
      </c>
      <c r="G24" s="5" t="str">
        <f t="shared" si="1"/>
        <v>&amp;H4120B4&amp;</v>
      </c>
      <c r="H24" s="5">
        <f t="shared" si="2"/>
        <v>19</v>
      </c>
      <c r="I24" s="238" t="str">
        <f t="shared" si="3"/>
        <v>Case RAL_3027_Himbeerrot:       s = "Himbeerrot"</v>
      </c>
      <c r="J24" s="238" t="str">
        <f t="shared" si="4"/>
        <v>Case RAL_3027_Himbeerrot:       n = 3027</v>
      </c>
      <c r="K24" s="238" t="str">
        <f t="shared" si="5"/>
        <v>Case 3027: c = RAL_3027_Himbeerrot</v>
      </c>
      <c r="L24" s="238" t="str">
        <f t="shared" si="6"/>
        <v>MColor.CIELab(43.07, 46.96, 15.81)</v>
      </c>
      <c r="M24" s="238" t="str">
        <f t="shared" si="7"/>
        <v>m_Arr(i) = TNamedRALColor("Himbeerrot", 3027, RALClassic.RAL_3027_Himbeerrot, MColor.CIELab(43.07, 46.96, 15.81)):    i = i + 1</v>
      </c>
      <c r="N24" s="7">
        <v>43.07</v>
      </c>
      <c r="O24" s="7">
        <v>46.96</v>
      </c>
      <c r="P24" s="7">
        <v>15.81</v>
      </c>
      <c r="Q24" s="5"/>
    </row>
    <row r="25" spans="1:17" ht="15" customHeight="1" x14ac:dyDescent="0.25">
      <c r="A25" s="3">
        <v>3028</v>
      </c>
      <c r="B25" s="5" t="s">
        <v>101</v>
      </c>
      <c r="C25" s="71"/>
      <c r="D25" t="s">
        <v>411</v>
      </c>
      <c r="E25" s="5" t="str">
        <f t="shared" si="0"/>
        <v>RAL_3028_Reinrot</v>
      </c>
      <c r="F25" s="237" t="s">
        <v>574</v>
      </c>
      <c r="G25" s="5" t="str">
        <f t="shared" si="1"/>
        <v>&amp;H242CCC&amp;</v>
      </c>
      <c r="H25" s="5">
        <f t="shared" si="2"/>
        <v>16</v>
      </c>
      <c r="I25" s="238" t="str">
        <f t="shared" si="3"/>
        <v>Case RAL_3028_Reinrot:          s = "Reinrot"</v>
      </c>
      <c r="J25" s="238" t="str">
        <f t="shared" si="4"/>
        <v>Case RAL_3028_Reinrot:          n = 3028</v>
      </c>
      <c r="K25" s="238" t="str">
        <f t="shared" si="5"/>
        <v>Case 3028: c = RAL_3028_Reinrot</v>
      </c>
      <c r="L25" s="238" t="str">
        <f t="shared" si="6"/>
        <v>MColor.CIELab(51, 58, 46)</v>
      </c>
      <c r="M25" s="238" t="str">
        <f t="shared" si="7"/>
        <v>m_Arr(i) = TNamedRALColor("Reinrot", 3028, RALClassic.RAL_3028_Reinrot, MColor.CIELab(51, 58, 46)):                   i = i + 1</v>
      </c>
      <c r="N25" s="7">
        <v>51</v>
      </c>
      <c r="O25" s="7">
        <v>58</v>
      </c>
      <c r="P25" s="7">
        <v>46</v>
      </c>
      <c r="Q25" s="8" t="s">
        <v>102</v>
      </c>
    </row>
    <row r="26" spans="1:17" ht="15" customHeight="1" x14ac:dyDescent="0.25">
      <c r="A26" s="3">
        <v>3031</v>
      </c>
      <c r="B26" s="8" t="s">
        <v>103</v>
      </c>
      <c r="C26" s="72"/>
      <c r="D26" t="s">
        <v>412</v>
      </c>
      <c r="E26" s="5" t="str">
        <f t="shared" si="0"/>
        <v>RAL_3031_Orientrot</v>
      </c>
      <c r="F26" s="237" t="s">
        <v>574</v>
      </c>
      <c r="G26" s="5" t="str">
        <f t="shared" si="1"/>
        <v>&amp;H3734A6&amp;</v>
      </c>
      <c r="H26" s="5">
        <f t="shared" si="2"/>
        <v>18</v>
      </c>
      <c r="I26" s="238" t="str">
        <f t="shared" si="3"/>
        <v>Case RAL_3031_Orientrot:        s = "Orientrot"</v>
      </c>
      <c r="J26" s="238" t="str">
        <f t="shared" si="4"/>
        <v>Case RAL_3031_Orientrot:        n = 3031</v>
      </c>
      <c r="K26" s="238" t="str">
        <f t="shared" si="5"/>
        <v>Case 3031: c = RAL_3031_Orientrot</v>
      </c>
      <c r="L26" s="238" t="str">
        <f t="shared" si="6"/>
        <v>MColor.CIELab(46, 45, 25)</v>
      </c>
      <c r="M26" s="238" t="str">
        <f t="shared" si="7"/>
        <v>m_Arr(i) = TNamedRALColor("Orientrot", 3031, RALClassic.RAL_3031_Orientrot, MColor.CIELab(46, 45, 25)):               i = i + 1</v>
      </c>
      <c r="N26" s="7">
        <v>46</v>
      </c>
      <c r="O26" s="7">
        <v>45</v>
      </c>
      <c r="P26" s="7">
        <v>25</v>
      </c>
      <c r="Q26" s="8" t="s">
        <v>104</v>
      </c>
    </row>
    <row r="27" spans="1:17" ht="15" customHeight="1" x14ac:dyDescent="0.25">
      <c r="A27" s="3">
        <v>3032</v>
      </c>
      <c r="B27" s="5" t="s">
        <v>105</v>
      </c>
      <c r="C27" s="73"/>
      <c r="D27" t="s">
        <v>413</v>
      </c>
      <c r="E27" s="5" t="str">
        <f t="shared" si="0"/>
        <v>RAL_3032_Perlrubinrot</v>
      </c>
      <c r="F27" s="237" t="s">
        <v>574</v>
      </c>
      <c r="G27" s="5" t="str">
        <f t="shared" si="1"/>
        <v>&amp;H211571&amp;</v>
      </c>
      <c r="H27" s="5">
        <f t="shared" si="2"/>
        <v>21</v>
      </c>
      <c r="I27" s="238" t="str">
        <f t="shared" si="3"/>
        <v>Case RAL_3032_Perlrubinrot:     s = "Perlrubinrot"</v>
      </c>
      <c r="J27" s="238" t="str">
        <f t="shared" si="4"/>
        <v>Case RAL_3032_Perlrubinrot:     n = 3032</v>
      </c>
      <c r="K27" s="238" t="str">
        <f t="shared" si="5"/>
        <v>Case 3032: c = RAL_3032_Perlrubinrot</v>
      </c>
      <c r="L27" s="238" t="str">
        <f t="shared" si="6"/>
        <v>MColor.CIELab(26.88, 41.34, 19.4)</v>
      </c>
      <c r="M27" s="238" t="str">
        <f t="shared" si="7"/>
        <v>m_Arr(i) = TNamedRALColor("Perlrubinrot", 3032, RALClassic.RAL_3032_Perlrubinrot, MColor.CIELab(26.88, 41.34, 19.4)): i = i + 1</v>
      </c>
      <c r="N27" s="7">
        <v>26.88</v>
      </c>
      <c r="O27" s="7">
        <v>41.34</v>
      </c>
      <c r="P27" s="7">
        <v>19.399999999999999</v>
      </c>
      <c r="Q27" s="5"/>
    </row>
    <row r="28" spans="1:17" ht="15" customHeight="1" x14ac:dyDescent="0.25">
      <c r="A28" s="3">
        <v>3033</v>
      </c>
      <c r="B28" s="5" t="s">
        <v>106</v>
      </c>
      <c r="C28" s="74"/>
      <c r="D28" t="s">
        <v>414</v>
      </c>
      <c r="E28" s="5" t="str">
        <f t="shared" si="0"/>
        <v>RAL_3033_Perlrosa</v>
      </c>
      <c r="F28" s="237" t="s">
        <v>574</v>
      </c>
      <c r="G28" s="5" t="str">
        <f t="shared" si="1"/>
        <v>&amp;H434CB2&amp;</v>
      </c>
      <c r="H28" s="5">
        <f t="shared" si="2"/>
        <v>17</v>
      </c>
      <c r="I28" s="238" t="str">
        <f t="shared" si="3"/>
        <v>Case RAL_3033_Perlrosa:         s = "Perlrosa"</v>
      </c>
      <c r="J28" s="238" t="str">
        <f t="shared" si="4"/>
        <v>Case RAL_3033_Perlrosa:         n = 3033</v>
      </c>
      <c r="K28" s="238" t="str">
        <f t="shared" si="5"/>
        <v>Case 3033: c = RAL_3033_Perlrosa</v>
      </c>
      <c r="L28" s="238" t="str">
        <f t="shared" si="6"/>
        <v>MColor.CIELab(44.29, 45.11, 28.62)</v>
      </c>
      <c r="M28" s="238" t="str">
        <f t="shared" si="7"/>
        <v>m_Arr(i) = TNamedRALColor("Perlrosa", 3033, RALClassic.RAL_3033_Perlrosa, MColor.CIELab(44.29, 45.11, 28.62)):        i = i + 1</v>
      </c>
      <c r="N28" s="7">
        <v>44.29</v>
      </c>
      <c r="O28" s="7">
        <v>45.11</v>
      </c>
      <c r="P28" s="7">
        <v>28.62</v>
      </c>
      <c r="Q28" s="5"/>
    </row>
    <row r="29" spans="1:17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200-000000000000}"/>
    <hyperlink ref="N3" r:id="rId2" tooltip="Lab-Farbraum" display="https://de.wikipedia.org/wiki/Lab-Farbraum" xr:uid="{00000000-0004-0000-0200-000001000000}"/>
    <hyperlink ref="Q4" r:id="rId3" tooltip="Feuerwehrfahrzeug" display="https://de.wikipedia.org/wiki/Feuerwehrfahrzeug" xr:uid="{00000000-0004-0000-0200-000002000000}"/>
    <hyperlink ref="B6" r:id="rId4" tooltip="Karminrot" display="https://de.wikipedia.org/wiki/Karminrot" xr:uid="{00000000-0004-0000-0200-000003000000}"/>
    <hyperlink ref="B8" r:id="rId5" tooltip="Purpur (Farbe)" display="https://de.wikipedia.org/wiki/Purpur_(Farbe)" xr:uid="{00000000-0004-0000-0200-000004000000}"/>
    <hyperlink ref="Q8" r:id="rId6" location="cite_note-FarbkarteB2-6" display="https://de.wikipedia.org/wiki/RAL-Farbe - cite_note-FarbkarteB2-6" xr:uid="{00000000-0004-0000-0200-000005000000}"/>
    <hyperlink ref="Q9" r:id="rId7" location="cite_note-FarbkarteB2-6" display="https://de.wikipedia.org/wiki/RAL-Farbe - cite_note-FarbkarteB2-6" xr:uid="{00000000-0004-0000-0200-000006000000}"/>
    <hyperlink ref="Q10" r:id="rId8" location="cite_note-FarbkarteB2-6" display="https://de.wikipedia.org/wiki/RAL-Farbe - cite_note-FarbkarteB2-6" xr:uid="{00000000-0004-0000-0200-000007000000}"/>
    <hyperlink ref="B11" r:id="rId9" tooltip="Oxidrot" display="https://de.wikipedia.org/wiki/Oxidrot" xr:uid="{00000000-0004-0000-0200-000008000000}"/>
    <hyperlink ref="B20" r:id="rId10" tooltip="Verkehrsrot" display="https://de.wikipedia.org/wiki/Verkehrsrot" xr:uid="{00000000-0004-0000-0200-000009000000}"/>
    <hyperlink ref="B24" r:id="rId11" tooltip="Himbeerrot" display="https://de.wikipedia.org/wiki/Himbeerrot" xr:uid="{00000000-0004-0000-0200-00000A000000}"/>
    <hyperlink ref="Q25" r:id="rId12" tooltip="Schifffahrtszeichen" display="https://de.wikipedia.org/wiki/Schifffahrtszeichen" xr:uid="{00000000-0004-0000-0200-00000B000000}"/>
    <hyperlink ref="B26" r:id="rId13" tooltip="Orientrot" display="https://de.wikipedia.org/wiki/Orientrot" xr:uid="{00000000-0004-0000-0200-00000C000000}"/>
    <hyperlink ref="Q26" r:id="rId14" tooltip="Deutsche Bundesbahn" display="https://de.wikipedia.org/wiki/Deutsche_Bundesbahn" xr:uid="{00000000-0004-0000-0200-00000D000000}"/>
  </hyperlinks>
  <pageMargins left="0.7" right="0.7" top="0.78740157499999996" bottom="0.78740157499999996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Q16"/>
  <sheetViews>
    <sheetView tabSelected="1" workbookViewId="0"/>
  </sheetViews>
  <sheetFormatPr baseColWidth="10" defaultRowHeight="15" x14ac:dyDescent="0.25"/>
  <cols>
    <col min="2" max="2" width="18.7109375" customWidth="1"/>
    <col min="3" max="4" width="15.7109375" customWidth="1"/>
    <col min="5" max="5" width="24.85546875" bestFit="1" customWidth="1"/>
    <col min="6" max="6" width="2" bestFit="1" customWidth="1"/>
    <col min="7" max="7" width="12.7109375" customWidth="1"/>
    <col min="8" max="8" width="5.7109375" customWidth="1"/>
    <col min="9" max="9" width="55.140625" bestFit="1" customWidth="1"/>
    <col min="10" max="10" width="41.85546875" bestFit="1" customWidth="1"/>
    <col min="11" max="11" width="40.7109375" bestFit="1" customWidth="1"/>
    <col min="12" max="12" width="36.7109375" bestFit="1" customWidth="1"/>
    <col min="13" max="13" width="137.42578125" bestFit="1" customWidth="1"/>
    <col min="17" max="17" width="93.85546875" customWidth="1"/>
  </cols>
  <sheetData>
    <row r="1" spans="1:17" ht="18" x14ac:dyDescent="0.25">
      <c r="A1" s="2" t="s">
        <v>107</v>
      </c>
      <c r="M1" s="238"/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4001</v>
      </c>
      <c r="B4" s="5" t="s">
        <v>108</v>
      </c>
      <c r="C4" s="75"/>
      <c r="D4" t="s">
        <v>415</v>
      </c>
      <c r="E4" s="5" t="str">
        <f>"RAL" &amp; "_" &amp; A4 &amp; "_" &amp; B4</f>
        <v>RAL_4001_Rotlila</v>
      </c>
      <c r="F4" s="237" t="s">
        <v>574</v>
      </c>
      <c r="G4" s="5" t="str">
        <f>D4 &amp; "&amp;"</f>
        <v>&amp;H835A8A&amp;</v>
      </c>
      <c r="H4" s="5">
        <f>LEN(E4)</f>
        <v>16</v>
      </c>
      <c r="I4" s="238" t="str">
        <f>"Case "&amp; "RAL" &amp; "_"&amp; A4 &amp;"_"&amp;B4&amp;": "&amp;REPT(" ",25-LEN(E4))&amp;"s = """&amp;B4&amp;""""</f>
        <v>Case RAL_4001_Rotlila:          s = "Rotlila"</v>
      </c>
      <c r="J4" s="238" t="str">
        <f>"Case " &amp; "RAL" &amp; "_" &amp; A4 &amp;"_"&amp;B4&amp;": "&amp;REPT(" ",25-H4) &amp; "n = " &amp; A4</f>
        <v>Case RAL_4001_Rotlila:          n = 4001</v>
      </c>
      <c r="K4" s="238" t="str">
        <f>"Case " &amp; A4 &amp; ": c = " &amp; "RAL" &amp; "_" &amp; A4 &amp; "_" &amp; B4</f>
        <v>Case 4001: c = RAL_4001_Rotlila</v>
      </c>
      <c r="L4" s="238" t="str">
        <f xml:space="preserve"> "MColor.CIELab(" &amp; SUBSTITUTE(N4, ",", ".") &amp; ", " &amp; SUBSTITUTE(O4, ",", ".") &amp; ", " &amp; SUBSTITUTE(P4, ",", ".") &amp; ")"</f>
        <v>MColor.CIELab(49.1, 17.35, -12.85)</v>
      </c>
      <c r="M4" s="238" t="str">
        <f>"m_Arr(i) = TNamedRALColor(""" &amp; B4 &amp; """, " &amp; A4 &amp; ", RALClassic." &amp; E4 &amp; ", " &amp; L4 &amp; "): " &amp; REPT(" ", (81-LEN(L4))-2*H4) &amp; "i = i + 1"</f>
        <v>m_Arr(i) = TNamedRALColor("Rotlila", 4001, RALClassic.RAL_4001_Rotlila, MColor.CIELab(49.1, 17.35, -12.85)):                i = i + 1</v>
      </c>
      <c r="N4" s="7">
        <v>49.1</v>
      </c>
      <c r="O4" s="7">
        <v>17.350000000000001</v>
      </c>
      <c r="P4" s="7">
        <v>-12.85</v>
      </c>
      <c r="Q4" s="5"/>
    </row>
    <row r="5" spans="1:17" ht="15" customHeight="1" x14ac:dyDescent="0.25">
      <c r="A5" s="3">
        <v>4002</v>
      </c>
      <c r="B5" s="5" t="s">
        <v>109</v>
      </c>
      <c r="C5" s="76"/>
      <c r="D5" t="s">
        <v>416</v>
      </c>
      <c r="E5" s="5" t="str">
        <f t="shared" ref="E5:E15" si="0">"RAL" &amp; "_" &amp; A5 &amp; "_" &amp; B5</f>
        <v>RAL_4002_Rotviolett</v>
      </c>
      <c r="F5" s="237" t="s">
        <v>574</v>
      </c>
      <c r="G5" s="5" t="str">
        <f t="shared" ref="G5:G15" si="1">D5 &amp; "&amp;"</f>
        <v>&amp;H503D93&amp;</v>
      </c>
      <c r="H5" s="5">
        <f t="shared" ref="H5:H15" si="2">LEN(E5)</f>
        <v>19</v>
      </c>
      <c r="I5" s="238" t="str">
        <f t="shared" ref="I5:I15" si="3">"Case "&amp; "RAL" &amp; "_"&amp; A5 &amp;"_"&amp;B5&amp;": "&amp;REPT(" ",25-LEN(E5))&amp;"s = """&amp;B5&amp;""""</f>
        <v>Case RAL_4002_Rotviolett:       s = "Rotviolett"</v>
      </c>
      <c r="J5" s="238" t="str">
        <f t="shared" ref="J5:J15" si="4">"Case " &amp; "RAL" &amp; "_" &amp; A5 &amp;"_"&amp;B5&amp;": "&amp;REPT(" ",25-H5) &amp; "n = " &amp; A5</f>
        <v>Case RAL_4002_Rotviolett:       n = 4002</v>
      </c>
      <c r="K5" s="238" t="str">
        <f t="shared" ref="K5:K15" si="5">"Case " &amp; A5 &amp; ": c = " &amp; "RAL" &amp; "_" &amp; A5 &amp; "_" &amp; B5</f>
        <v>Case 4002: c = RAL_4002_Rotviolett</v>
      </c>
      <c r="L5" s="238" t="str">
        <f t="shared" ref="L5:L15" si="6" xml:space="preserve"> "MColor.CIELab(" &amp; SUBSTITUTE(N5, ",", ".") &amp; ", " &amp; SUBSTITUTE(O5, ",", ".") &amp; ", " &amp; SUBSTITUTE(P5, ",", ".") &amp; ")"</f>
        <v>MColor.CIELab(41.91, 30.05, 5.67)</v>
      </c>
      <c r="M5" s="238" t="str">
        <f t="shared" ref="M5:M15" si="7">"m_Arr(i) = TNamedRALColor(""" &amp; B5 &amp; """, " &amp; A5 &amp; ", RALClassic." &amp; E5 &amp; ", " &amp; L5 &amp; "): " &amp; REPT(" ", (81-LEN(L5))-2*H5) &amp; "i = i + 1"</f>
        <v>m_Arr(i) = TNamedRALColor("Rotviolett", 4002, RALClassic.RAL_4002_Rotviolett, MColor.CIELab(41.91, 30.05, 5.67)):           i = i + 1</v>
      </c>
      <c r="N5" s="7">
        <v>41.91</v>
      </c>
      <c r="O5" s="7">
        <v>30.05</v>
      </c>
      <c r="P5" s="7">
        <v>5.67</v>
      </c>
      <c r="Q5" s="5"/>
    </row>
    <row r="6" spans="1:17" ht="15" customHeight="1" x14ac:dyDescent="0.25">
      <c r="A6" s="3">
        <v>4003</v>
      </c>
      <c r="B6" s="5" t="s">
        <v>110</v>
      </c>
      <c r="C6" s="77"/>
      <c r="D6" t="s">
        <v>417</v>
      </c>
      <c r="E6" s="5" t="str">
        <f t="shared" si="0"/>
        <v>RAL_4003_Erikaviolett</v>
      </c>
      <c r="F6" s="237" t="s">
        <v>574</v>
      </c>
      <c r="G6" s="5" t="str">
        <f t="shared" si="1"/>
        <v>&amp;H8C5FC4&amp;</v>
      </c>
      <c r="H6" s="5">
        <f t="shared" si="2"/>
        <v>21</v>
      </c>
      <c r="I6" s="238" t="str">
        <f t="shared" si="3"/>
        <v>Case RAL_4003_Erikaviolett:     s = "Erikaviolett"</v>
      </c>
      <c r="J6" s="238" t="str">
        <f t="shared" si="4"/>
        <v>Case RAL_4003_Erikaviolett:     n = 4003</v>
      </c>
      <c r="K6" s="238" t="str">
        <f t="shared" si="5"/>
        <v>Case 4003: c = RAL_4003_Erikaviolett</v>
      </c>
      <c r="L6" s="238" t="str">
        <f t="shared" si="6"/>
        <v>MColor.CIELab(54.25, 44.66, -5.02)</v>
      </c>
      <c r="M6" s="238" t="str">
        <f t="shared" si="7"/>
        <v>m_Arr(i) = TNamedRALColor("Erikaviolett", 4003, RALClassic.RAL_4003_Erikaviolett, MColor.CIELab(54.25, 44.66, -5.02)):      i = i + 1</v>
      </c>
      <c r="N6" s="7">
        <v>54.25</v>
      </c>
      <c r="O6" s="7">
        <v>44.66</v>
      </c>
      <c r="P6" s="7">
        <v>-5.0199999999999996</v>
      </c>
      <c r="Q6" s="5"/>
    </row>
    <row r="7" spans="1:17" ht="15" customHeight="1" x14ac:dyDescent="0.25">
      <c r="A7" s="3">
        <v>4004</v>
      </c>
      <c r="B7" s="5" t="s">
        <v>111</v>
      </c>
      <c r="C7" s="78"/>
      <c r="D7" t="s">
        <v>418</v>
      </c>
      <c r="E7" s="5" t="str">
        <f t="shared" si="0"/>
        <v>RAL_4004_Bordeauxviolett</v>
      </c>
      <c r="F7" s="237" t="s">
        <v>574</v>
      </c>
      <c r="G7" s="5" t="str">
        <f t="shared" si="1"/>
        <v>&amp;H391669&amp;</v>
      </c>
      <c r="H7" s="5">
        <f t="shared" si="2"/>
        <v>24</v>
      </c>
      <c r="I7" s="238" t="str">
        <f t="shared" si="3"/>
        <v>Case RAL_4004_Bordeauxviolett:  s = "Bordeauxviolett"</v>
      </c>
      <c r="J7" s="238" t="str">
        <f t="shared" si="4"/>
        <v>Case RAL_4004_Bordeauxviolett:  n = 4004</v>
      </c>
      <c r="K7" s="238" t="str">
        <f t="shared" si="5"/>
        <v>Case 4004: c = RAL_4004_Bordeauxviolett</v>
      </c>
      <c r="L7" s="238" t="str">
        <f t="shared" si="6"/>
        <v>MColor.CIELab(32.22, 24.83, 0.06)</v>
      </c>
      <c r="M7" s="238" t="str">
        <f t="shared" si="7"/>
        <v>m_Arr(i) = TNamedRALColor("Bordeauxviolett", 4004, RALClassic.RAL_4004_Bordeauxviolett, MColor.CIELab(32.22, 24.83, 0.06)): i = i + 1</v>
      </c>
      <c r="N7" s="7">
        <v>32.22</v>
      </c>
      <c r="O7" s="7">
        <v>24.83</v>
      </c>
      <c r="P7" s="7">
        <v>0.06</v>
      </c>
      <c r="Q7" s="5" t="s">
        <v>112</v>
      </c>
    </row>
    <row r="8" spans="1:17" ht="15" customHeight="1" x14ac:dyDescent="0.25">
      <c r="A8" s="3">
        <v>4005</v>
      </c>
      <c r="B8" s="5" t="s">
        <v>113</v>
      </c>
      <c r="C8" s="79"/>
      <c r="D8" t="s">
        <v>419</v>
      </c>
      <c r="E8" s="5" t="str">
        <f t="shared" si="0"/>
        <v>RAL_4005_Blaulila</v>
      </c>
      <c r="F8" s="237" t="s">
        <v>574</v>
      </c>
      <c r="G8" s="5" t="str">
        <f t="shared" si="1"/>
        <v>&amp;H9D6383&amp;</v>
      </c>
      <c r="H8" s="5">
        <f t="shared" si="2"/>
        <v>17</v>
      </c>
      <c r="I8" s="238" t="str">
        <f t="shared" si="3"/>
        <v>Case RAL_4005_Blaulila:         s = "Blaulila"</v>
      </c>
      <c r="J8" s="238" t="str">
        <f t="shared" si="4"/>
        <v>Case RAL_4005_Blaulila:         n = 4005</v>
      </c>
      <c r="K8" s="238" t="str">
        <f t="shared" si="5"/>
        <v>Case 4005: c = RAL_4005_Blaulila</v>
      </c>
      <c r="L8" s="238" t="str">
        <f t="shared" si="6"/>
        <v>MColor.CIELab(50.92, 15.38, -23.06)</v>
      </c>
      <c r="M8" s="238" t="str">
        <f t="shared" si="7"/>
        <v>m_Arr(i) = TNamedRALColor("Blaulila", 4005, RALClassic.RAL_4005_Blaulila, MColor.CIELab(50.92, 15.38, -23.06)):             i = i + 1</v>
      </c>
      <c r="N8" s="7">
        <v>50.92</v>
      </c>
      <c r="O8" s="7">
        <v>15.38</v>
      </c>
      <c r="P8" s="7">
        <v>-23.06</v>
      </c>
      <c r="Q8" s="5"/>
    </row>
    <row r="9" spans="1:17" ht="15" customHeight="1" x14ac:dyDescent="0.25">
      <c r="A9" s="3">
        <v>4006</v>
      </c>
      <c r="B9" s="5" t="s">
        <v>114</v>
      </c>
      <c r="C9" s="80"/>
      <c r="D9" t="s">
        <v>420</v>
      </c>
      <c r="E9" s="5" t="str">
        <f t="shared" si="0"/>
        <v>RAL_4006_Verkehrspurpur</v>
      </c>
      <c r="F9" s="237" t="s">
        <v>574</v>
      </c>
      <c r="G9" s="5" t="str">
        <f t="shared" si="1"/>
        <v>&amp;H722599&amp;</v>
      </c>
      <c r="H9" s="5">
        <f t="shared" si="2"/>
        <v>23</v>
      </c>
      <c r="I9" s="238" t="str">
        <f t="shared" si="3"/>
        <v>Case RAL_4006_Verkehrspurpur:   s = "Verkehrspurpur"</v>
      </c>
      <c r="J9" s="238" t="str">
        <f t="shared" si="4"/>
        <v>Case RAL_4006_Verkehrspurpur:   n = 4006</v>
      </c>
      <c r="K9" s="238" t="str">
        <f t="shared" si="5"/>
        <v>Case 4006: c = RAL_4006_Verkehrspurpur</v>
      </c>
      <c r="L9" s="238" t="str">
        <f t="shared" si="6"/>
        <v>MColor.CIELab(42.38, 39.48, -14.94)</v>
      </c>
      <c r="M9" s="238" t="str">
        <f t="shared" si="7"/>
        <v>m_Arr(i) = TNamedRALColor("Verkehrspurpur", 4006, RALClassic.RAL_4006_Verkehrspurpur, MColor.CIELab(42.38, 39.48, -14.94)): i = i + 1</v>
      </c>
      <c r="N9" s="7">
        <v>42.38</v>
      </c>
      <c r="O9" s="7">
        <v>39.479999999999997</v>
      </c>
      <c r="P9" s="7">
        <v>-14.94</v>
      </c>
      <c r="Q9" s="5"/>
    </row>
    <row r="10" spans="1:17" ht="15" customHeight="1" x14ac:dyDescent="0.25">
      <c r="A10" s="3">
        <v>4007</v>
      </c>
      <c r="B10" s="5" t="s">
        <v>115</v>
      </c>
      <c r="C10" s="81"/>
      <c r="D10" t="s">
        <v>421</v>
      </c>
      <c r="E10" s="5" t="str">
        <f t="shared" si="0"/>
        <v>RAL_4007_Purpurviolett</v>
      </c>
      <c r="F10" s="237" t="s">
        <v>574</v>
      </c>
      <c r="G10" s="5" t="str">
        <f t="shared" si="1"/>
        <v>&amp;H3B204A&amp;</v>
      </c>
      <c r="H10" s="5">
        <f t="shared" si="2"/>
        <v>22</v>
      </c>
      <c r="I10" s="238" t="str">
        <f t="shared" si="3"/>
        <v>Case RAL_4007_Purpurviolett:    s = "Purpurviolett"</v>
      </c>
      <c r="J10" s="238" t="str">
        <f t="shared" si="4"/>
        <v>Case RAL_4007_Purpurviolett:    n = 4007</v>
      </c>
      <c r="K10" s="238" t="str">
        <f t="shared" si="5"/>
        <v>Case 4007: c = RAL_4007_Purpurviolett</v>
      </c>
      <c r="L10" s="238" t="str">
        <f t="shared" si="6"/>
        <v>MColor.CIELab(30.05, 13.16, -5.1)</v>
      </c>
      <c r="M10" s="238" t="str">
        <f t="shared" si="7"/>
        <v>m_Arr(i) = TNamedRALColor("Purpurviolett", 4007, RALClassic.RAL_4007_Purpurviolett, MColor.CIELab(30.05, 13.16, -5.1)):     i = i + 1</v>
      </c>
      <c r="N10" s="7">
        <v>30.05</v>
      </c>
      <c r="O10" s="7">
        <v>13.16</v>
      </c>
      <c r="P10" s="7">
        <v>-5.0999999999999996</v>
      </c>
      <c r="Q10" s="5"/>
    </row>
    <row r="11" spans="1:17" ht="15" customHeight="1" x14ac:dyDescent="0.25">
      <c r="A11" s="3">
        <v>4008</v>
      </c>
      <c r="B11" s="5" t="s">
        <v>116</v>
      </c>
      <c r="C11" s="82"/>
      <c r="D11" t="s">
        <v>422</v>
      </c>
      <c r="E11" s="5" t="str">
        <f t="shared" si="0"/>
        <v>RAL_4008_Signalviolett</v>
      </c>
      <c r="F11" s="237" t="s">
        <v>574</v>
      </c>
      <c r="G11" s="5" t="str">
        <f t="shared" si="1"/>
        <v>&amp;H844D88&amp;</v>
      </c>
      <c r="H11" s="5">
        <f t="shared" si="2"/>
        <v>22</v>
      </c>
      <c r="I11" s="238" t="str">
        <f t="shared" si="3"/>
        <v>Case RAL_4008_Signalviolett:    s = "Signalviolett"</v>
      </c>
      <c r="J11" s="238" t="str">
        <f t="shared" si="4"/>
        <v>Case RAL_4008_Signalviolett:    n = 4008</v>
      </c>
      <c r="K11" s="238" t="str">
        <f t="shared" si="5"/>
        <v>Case 4008: c = RAL_4008_Signalviolett</v>
      </c>
      <c r="L11" s="238" t="str">
        <f t="shared" si="6"/>
        <v>MColor.CIELab(40.76, 32.53, -20.56)</v>
      </c>
      <c r="M11" s="238" t="str">
        <f t="shared" si="7"/>
        <v>m_Arr(i) = TNamedRALColor("Signalviolett", 4008, RALClassic.RAL_4008_Signalviolett, MColor.CIELab(40.76, 32.53, -20.56)):   i = i + 1</v>
      </c>
      <c r="N11" s="7">
        <v>40.76</v>
      </c>
      <c r="O11" s="7">
        <v>32.53</v>
      </c>
      <c r="P11" s="7">
        <v>-20.56</v>
      </c>
      <c r="Q11" s="5"/>
    </row>
    <row r="12" spans="1:17" ht="15" customHeight="1" x14ac:dyDescent="0.25">
      <c r="A12" s="3">
        <v>4009</v>
      </c>
      <c r="B12" s="5" t="s">
        <v>117</v>
      </c>
      <c r="C12" s="83"/>
      <c r="D12" t="s">
        <v>423</v>
      </c>
      <c r="E12" s="5" t="str">
        <f t="shared" si="0"/>
        <v>RAL_4009_Pastellviolett</v>
      </c>
      <c r="F12" s="237" t="s">
        <v>574</v>
      </c>
      <c r="G12" s="5" t="str">
        <f t="shared" si="1"/>
        <v>&amp;H9589A3&amp;</v>
      </c>
      <c r="H12" s="5">
        <f t="shared" si="2"/>
        <v>23</v>
      </c>
      <c r="I12" s="238" t="str">
        <f t="shared" si="3"/>
        <v>Case RAL_4009_Pastellviolett:   s = "Pastellviolett"</v>
      </c>
      <c r="J12" s="238" t="str">
        <f t="shared" si="4"/>
        <v>Case RAL_4009_Pastellviolett:   n = 4009</v>
      </c>
      <c r="K12" s="238" t="str">
        <f t="shared" si="5"/>
        <v>Case 4009: c = RAL_4009_Pastellviolett</v>
      </c>
      <c r="L12" s="238" t="str">
        <f t="shared" si="6"/>
        <v>MColor.CIELab(60.59, 10.38, -2.88)</v>
      </c>
      <c r="M12" s="238" t="str">
        <f t="shared" si="7"/>
        <v>m_Arr(i) = TNamedRALColor("Pastellviolett", 4009, RALClassic.RAL_4009_Pastellviolett, MColor.CIELab(60.59, 10.38, -2.88)):  i = i + 1</v>
      </c>
      <c r="N12" s="7">
        <v>60.59</v>
      </c>
      <c r="O12" s="7">
        <v>10.38</v>
      </c>
      <c r="P12" s="7">
        <v>-2.88</v>
      </c>
      <c r="Q12" s="5"/>
    </row>
    <row r="13" spans="1:17" ht="15" customHeight="1" x14ac:dyDescent="0.25">
      <c r="A13" s="3">
        <v>4010</v>
      </c>
      <c r="B13" s="5" t="s">
        <v>118</v>
      </c>
      <c r="C13" s="84"/>
      <c r="D13" t="s">
        <v>424</v>
      </c>
      <c r="E13" s="5" t="str">
        <f t="shared" si="0"/>
        <v>RAL_4010_Telemagenta</v>
      </c>
      <c r="F13" s="237" t="s">
        <v>574</v>
      </c>
      <c r="G13" s="5" t="str">
        <f t="shared" si="1"/>
        <v>&amp;H7836C6&amp;</v>
      </c>
      <c r="H13" s="5">
        <f t="shared" si="2"/>
        <v>20</v>
      </c>
      <c r="I13" s="238" t="str">
        <f t="shared" si="3"/>
        <v>Case RAL_4010_Telemagenta:      s = "Telemagenta"</v>
      </c>
      <c r="J13" s="238" t="str">
        <f t="shared" si="4"/>
        <v>Case RAL_4010_Telemagenta:      n = 4010</v>
      </c>
      <c r="K13" s="238" t="str">
        <f t="shared" si="5"/>
        <v>Case 4010: c = RAL_4010_Telemagenta</v>
      </c>
      <c r="L13" s="238" t="str">
        <f t="shared" si="6"/>
        <v>MColor.CIELab(50.39, 48.95, -4.24)</v>
      </c>
      <c r="M13" s="238" t="str">
        <f t="shared" si="7"/>
        <v>m_Arr(i) = TNamedRALColor("Telemagenta", 4010, RALClassic.RAL_4010_Telemagenta, MColor.CIELab(50.39, 48.95, -4.24)):        i = i + 1</v>
      </c>
      <c r="N13" s="7">
        <v>50.39</v>
      </c>
      <c r="O13" s="7">
        <v>48.95</v>
      </c>
      <c r="P13" s="7">
        <v>-4.24</v>
      </c>
      <c r="Q13" s="8" t="s">
        <v>119</v>
      </c>
    </row>
    <row r="14" spans="1:17" ht="15" customHeight="1" x14ac:dyDescent="0.25">
      <c r="A14" s="3">
        <v>4011</v>
      </c>
      <c r="B14" s="5" t="s">
        <v>120</v>
      </c>
      <c r="C14" s="85"/>
      <c r="D14" t="s">
        <v>425</v>
      </c>
      <c r="E14" s="5" t="str">
        <f t="shared" si="0"/>
        <v>RAL_4011_Perlviolett</v>
      </c>
      <c r="F14" s="237" t="s">
        <v>574</v>
      </c>
      <c r="G14" s="5" t="str">
        <f t="shared" si="1"/>
        <v>&amp;HA17387&amp;</v>
      </c>
      <c r="H14" s="5">
        <f t="shared" si="2"/>
        <v>20</v>
      </c>
      <c r="I14" s="238" t="str">
        <f t="shared" si="3"/>
        <v>Case RAL_4011_Perlviolett:      s = "Perlviolett"</v>
      </c>
      <c r="J14" s="238" t="str">
        <f t="shared" si="4"/>
        <v>Case RAL_4011_Perlviolett:      n = 4011</v>
      </c>
      <c r="K14" s="238" t="str">
        <f t="shared" si="5"/>
        <v>Case 4011: c = RAL_4011_Perlviolett</v>
      </c>
      <c r="L14" s="238" t="str">
        <f t="shared" si="6"/>
        <v>MColor.CIELab(47.92, 18.89, -20.83)</v>
      </c>
      <c r="M14" s="238" t="str">
        <f t="shared" si="7"/>
        <v>m_Arr(i) = TNamedRALColor("Perlviolett", 4011, RALClassic.RAL_4011_Perlviolett, MColor.CIELab(47.92, 18.89, -20.83)):       i = i + 1</v>
      </c>
      <c r="N14" s="7">
        <v>47.92</v>
      </c>
      <c r="O14" s="7">
        <v>18.89</v>
      </c>
      <c r="P14" s="7">
        <v>-20.83</v>
      </c>
      <c r="Q14" s="5"/>
    </row>
    <row r="15" spans="1:17" ht="15" customHeight="1" x14ac:dyDescent="0.25">
      <c r="A15" s="3">
        <v>4012</v>
      </c>
      <c r="B15" s="5" t="s">
        <v>121</v>
      </c>
      <c r="C15" s="86"/>
      <c r="D15" t="s">
        <v>426</v>
      </c>
      <c r="E15" s="5" t="str">
        <f t="shared" si="0"/>
        <v>RAL_4012_Perlbrombeer</v>
      </c>
      <c r="F15" s="237" t="s">
        <v>574</v>
      </c>
      <c r="G15" s="5" t="str">
        <f t="shared" si="1"/>
        <v>&amp;H80686B&amp;</v>
      </c>
      <c r="H15" s="5">
        <f t="shared" si="2"/>
        <v>21</v>
      </c>
      <c r="I15" s="238" t="str">
        <f t="shared" si="3"/>
        <v>Case RAL_4012_Perlbrombeer:     s = "Perlbrombeer"</v>
      </c>
      <c r="J15" s="238" t="str">
        <f t="shared" si="4"/>
        <v>Case RAL_4012_Perlbrombeer:     n = 4012</v>
      </c>
      <c r="K15" s="238" t="str">
        <f t="shared" si="5"/>
        <v>Case 4012: c = RAL_4012_Perlbrombeer</v>
      </c>
      <c r="L15" s="238" t="str">
        <f t="shared" si="6"/>
        <v>MColor.CIELab(46.33, 7.27, -11.94)</v>
      </c>
      <c r="M15" s="238" t="str">
        <f t="shared" si="7"/>
        <v>m_Arr(i) = TNamedRALColor("Perlbrombeer", 4012, RALClassic.RAL_4012_Perlbrombeer, MColor.CIELab(46.33, 7.27, -11.94)):      i = i + 1</v>
      </c>
      <c r="N15" s="7">
        <v>46.33</v>
      </c>
      <c r="O15" s="7">
        <v>7.27</v>
      </c>
      <c r="P15" s="7">
        <v>-11.94</v>
      </c>
      <c r="Q15" s="5"/>
    </row>
    <row r="16" spans="1:17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300-000000000000}"/>
    <hyperlink ref="N3" r:id="rId2" tooltip="Lab-Farbraum" display="https://de.wikipedia.org/wiki/Lab-Farbraum" xr:uid="{00000000-0004-0000-0300-000001000000}"/>
    <hyperlink ref="Q13" r:id="rId3" tooltip="Deutsche Telekom" display="https://de.wikipedia.org/wiki/Deutsche_Telekom" xr:uid="{00000000-0004-0000-0300-000002000000}"/>
  </hyperlinks>
  <pageMargins left="0.7" right="0.7" top="0.78740157499999996" bottom="0.78740157499999996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Q31"/>
  <sheetViews>
    <sheetView topLeftCell="K1" workbookViewId="0">
      <selection activeCell="M4" sqref="M4"/>
    </sheetView>
  </sheetViews>
  <sheetFormatPr baseColWidth="10" defaultRowHeight="15" x14ac:dyDescent="0.25"/>
  <cols>
    <col min="2" max="2" width="18.7109375" customWidth="1"/>
    <col min="3" max="4" width="15.7109375" customWidth="1"/>
    <col min="5" max="5" width="23.85546875" bestFit="1" customWidth="1"/>
    <col min="6" max="6" width="2" bestFit="1" customWidth="1"/>
    <col min="7" max="7" width="12.7109375" customWidth="1"/>
    <col min="8" max="8" width="5.7109375" customWidth="1"/>
    <col min="9" max="9" width="54.140625" bestFit="1" customWidth="1"/>
    <col min="10" max="10" width="41.85546875" bestFit="1" customWidth="1"/>
    <col min="11" max="11" width="39.7109375" bestFit="1" customWidth="1"/>
    <col min="12" max="12" width="39.7109375" customWidth="1"/>
    <col min="13" max="13" width="137.42578125" bestFit="1" customWidth="1"/>
    <col min="17" max="17" width="141.42578125" customWidth="1"/>
  </cols>
  <sheetData>
    <row r="1" spans="1:17" ht="18" x14ac:dyDescent="0.25">
      <c r="A1" s="2" t="s">
        <v>122</v>
      </c>
      <c r="M1" s="238"/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5000</v>
      </c>
      <c r="B4" s="5" t="s">
        <v>123</v>
      </c>
      <c r="C4" s="87"/>
      <c r="D4" t="s">
        <v>427</v>
      </c>
      <c r="E4" s="5" t="str">
        <f>"RAL" &amp; "_" &amp; A4 &amp; "_" &amp; B4</f>
        <v>RAL_5000_Violettblau</v>
      </c>
      <c r="F4" s="237" t="s">
        <v>574</v>
      </c>
      <c r="G4" s="5" t="str">
        <f>D4 &amp; "&amp;"</f>
        <v>&amp;H6F4E38&amp;</v>
      </c>
      <c r="H4" s="5">
        <f>LEN(E4)</f>
        <v>20</v>
      </c>
      <c r="I4" s="238" t="str">
        <f>"Case "&amp; "RAL" &amp; "_"&amp; A4 &amp;"_"&amp;B4&amp;": "&amp;REPT(" ",25-LEN(E4))&amp;"s = """&amp;B4&amp;""""</f>
        <v>Case RAL_5000_Violettblau:      s = "Violettblau"</v>
      </c>
      <c r="J4" s="238" t="str">
        <f>"Case " &amp; "RAL" &amp; "_" &amp; A4 &amp;"_"&amp;B4&amp;": "&amp;REPT(" ",25-H4) &amp; "n = " &amp; A4</f>
        <v>Case RAL_5000_Violettblau:      n = 5000</v>
      </c>
      <c r="K4" s="238" t="str">
        <f>"Case " &amp; A4 &amp; ": c = " &amp; "RAL" &amp; "_" &amp; A4 &amp; "_" &amp; B4</f>
        <v>Case 5000: c = RAL_5000_Violettblau</v>
      </c>
      <c r="L4" s="238" t="str">
        <f xml:space="preserve"> "MColor.CIELab(" &amp; SUBSTITUTE(N4, ",", ".") &amp; ", " &amp; SUBSTITUTE(O4, ",", ".") &amp; ", " &amp; SUBSTITUTE(P4, ",", ".") &amp; ")"</f>
        <v>MColor.CIELab(32.59, -1.28, -21.69)</v>
      </c>
      <c r="M4" s="238" t="str">
        <f>"m_Arr(i) = TNamedRALColor(""" &amp; B4 &amp; """, " &amp; A4 &amp; ", RALClassic." &amp; E4 &amp; ", " &amp; L4 &amp; "): " &amp; REPT(" ", (78-LEN(L4))-2*H4) &amp; "i = i + 1"</f>
        <v>m_Arr(i) = TNamedRALColor("Violettblau", 5000, RALClassic.RAL_5000_Violettblau, MColor.CIELab(32.59, -1.28, -21.69)):    i = i + 1</v>
      </c>
      <c r="N4" s="7">
        <v>32.590000000000003</v>
      </c>
      <c r="O4" s="7">
        <v>-1.28</v>
      </c>
      <c r="P4" s="7">
        <v>-21.69</v>
      </c>
      <c r="Q4" s="5"/>
    </row>
    <row r="5" spans="1:17" ht="15" customHeight="1" x14ac:dyDescent="0.25">
      <c r="A5" s="3">
        <v>5001</v>
      </c>
      <c r="B5" s="5" t="s">
        <v>124</v>
      </c>
      <c r="C5" s="88"/>
      <c r="D5" t="s">
        <v>428</v>
      </c>
      <c r="E5" s="5" t="str">
        <f t="shared" ref="E5:E28" si="0">"RAL" &amp; "_" &amp; A5 &amp; "_" &amp; B5</f>
        <v>RAL_5001_Grünblau</v>
      </c>
      <c r="F5" s="237" t="s">
        <v>574</v>
      </c>
      <c r="G5" s="5" t="str">
        <f t="shared" ref="G5:G28" si="1">D5 &amp; "&amp;"</f>
        <v>&amp;H644C0F&amp;</v>
      </c>
      <c r="H5" s="5">
        <f t="shared" ref="H5:H28" si="2">LEN(E5)</f>
        <v>17</v>
      </c>
      <c r="I5" s="238" t="str">
        <f t="shared" ref="I5:I28" si="3">"Case "&amp; "RAL" &amp; "_"&amp; A5 &amp;"_"&amp;B5&amp;": "&amp;REPT(" ",25-LEN(E5))&amp;"s = """&amp;B5&amp;""""</f>
        <v>Case RAL_5001_Grünblau:         s = "Grünblau"</v>
      </c>
      <c r="J5" s="238" t="str">
        <f t="shared" ref="J5:J28" si="4">"Case " &amp; "RAL" &amp; "_" &amp; A5 &amp;"_"&amp;B5&amp;": "&amp;REPT(" ",25-H5) &amp; "n = " &amp; A5</f>
        <v>Case RAL_5001_Grünblau:         n = 5001</v>
      </c>
      <c r="K5" s="238" t="str">
        <f t="shared" ref="K5:K28" si="5">"Case " &amp; A5 &amp; ": c = " &amp; "RAL" &amp; "_" &amp; A5 &amp; "_" &amp; B5</f>
        <v>Case 5001: c = RAL_5001_Grünblau</v>
      </c>
      <c r="L5" s="238" t="str">
        <f t="shared" ref="L5:L28" si="6" xml:space="preserve"> "MColor.CIELab(" &amp; SUBSTITUTE(N5, ",", ".") &amp; ", " &amp; SUBSTITUTE(O5, ",", ".") &amp; ", " &amp; SUBSTITUTE(P5, ",", ".") &amp; ")"</f>
        <v>MColor.CIELab(37, -16, -21)</v>
      </c>
      <c r="M5" s="238" t="str">
        <f t="shared" ref="M5:M28" si="7">"m_Arr(i) = TNamedRALColor(""" &amp; B5 &amp; """, " &amp; A5 &amp; ", RALClassic." &amp; E5 &amp; ", " &amp; L5 &amp; "): " &amp; REPT(" ", (78-LEN(L5))-2*H5) &amp; "i = i + 1"</f>
        <v>m_Arr(i) = TNamedRALColor("Grünblau", 5001, RALClassic.RAL_5001_Grünblau, MColor.CIELab(37, -16, -21)):                  i = i + 1</v>
      </c>
      <c r="N5" s="7">
        <v>37</v>
      </c>
      <c r="O5" s="7">
        <v>-16</v>
      </c>
      <c r="P5" s="7">
        <v>-21</v>
      </c>
      <c r="Q5" s="8" t="s">
        <v>125</v>
      </c>
    </row>
    <row r="6" spans="1:17" ht="15" customHeight="1" x14ac:dyDescent="0.25">
      <c r="A6" s="3">
        <v>5002</v>
      </c>
      <c r="B6" s="8" t="s">
        <v>126</v>
      </c>
      <c r="C6" s="89"/>
      <c r="D6" t="s">
        <v>429</v>
      </c>
      <c r="E6" s="5" t="str">
        <f t="shared" si="0"/>
        <v>RAL_5002_Ultramarinblau</v>
      </c>
      <c r="F6" s="237" t="s">
        <v>574</v>
      </c>
      <c r="G6" s="5" t="str">
        <f t="shared" si="1"/>
        <v>&amp;H7B3800&amp;</v>
      </c>
      <c r="H6" s="5">
        <f t="shared" si="2"/>
        <v>23</v>
      </c>
      <c r="I6" s="238" t="str">
        <f t="shared" si="3"/>
        <v>Case RAL_5002_Ultramarinblau:   s = "Ultramarinblau"</v>
      </c>
      <c r="J6" s="238" t="str">
        <f t="shared" si="4"/>
        <v>Case RAL_5002_Ultramarinblau:   n = 5002</v>
      </c>
      <c r="K6" s="238" t="str">
        <f t="shared" si="5"/>
        <v>Case 5002: c = RAL_5002_Ultramarinblau</v>
      </c>
      <c r="L6" s="238" t="str">
        <f t="shared" si="6"/>
        <v>MColor.CIELab(31, 2, -43)</v>
      </c>
      <c r="M6" s="238" t="str">
        <f t="shared" si="7"/>
        <v>m_Arr(i) = TNamedRALColor("Ultramarinblau", 5002, RALClassic.RAL_5002_Ultramarinblau, MColor.CIELab(31, 2, -43)):        i = i + 1</v>
      </c>
      <c r="N6" s="7">
        <v>31</v>
      </c>
      <c r="O6" s="7">
        <v>2</v>
      </c>
      <c r="P6" s="7">
        <v>-43</v>
      </c>
      <c r="Q6" s="5" t="s">
        <v>127</v>
      </c>
    </row>
    <row r="7" spans="1:17" ht="15" customHeight="1" x14ac:dyDescent="0.25">
      <c r="A7" s="3">
        <v>5003</v>
      </c>
      <c r="B7" s="5" t="s">
        <v>128</v>
      </c>
      <c r="C7" s="90"/>
      <c r="D7" t="s">
        <v>430</v>
      </c>
      <c r="E7" s="5" t="str">
        <f t="shared" si="0"/>
        <v>RAL_5003_Saphirblau</v>
      </c>
      <c r="F7" s="237" t="s">
        <v>574</v>
      </c>
      <c r="G7" s="5" t="str">
        <f t="shared" si="1"/>
        <v>&amp;H56372A&amp;</v>
      </c>
      <c r="H7" s="5">
        <f t="shared" si="2"/>
        <v>19</v>
      </c>
      <c r="I7" s="238" t="str">
        <f t="shared" si="3"/>
        <v>Case RAL_5003_Saphirblau:       s = "Saphirblau"</v>
      </c>
      <c r="J7" s="238" t="str">
        <f t="shared" si="4"/>
        <v>Case RAL_5003_Saphirblau:       n = 5003</v>
      </c>
      <c r="K7" s="238" t="str">
        <f t="shared" si="5"/>
        <v>Case 5003: c = RAL_5003_Saphirblau</v>
      </c>
      <c r="L7" s="238" t="str">
        <f t="shared" si="6"/>
        <v>MColor.CIELab(30.53, -0.37, -16.68)</v>
      </c>
      <c r="M7" s="238" t="str">
        <f t="shared" si="7"/>
        <v>m_Arr(i) = TNamedRALColor("Saphirblau", 5003, RALClassic.RAL_5003_Saphirblau, MColor.CIELab(30.53, -0.37, -16.68)):      i = i + 1</v>
      </c>
      <c r="N7" s="7">
        <v>30.53</v>
      </c>
      <c r="O7" s="7">
        <v>-0.37</v>
      </c>
      <c r="P7" s="7">
        <v>-16.68</v>
      </c>
      <c r="Q7" s="5" t="s">
        <v>129</v>
      </c>
    </row>
    <row r="8" spans="1:17" ht="15" customHeight="1" x14ac:dyDescent="0.25">
      <c r="A8" s="3">
        <v>5004</v>
      </c>
      <c r="B8" s="5" t="s">
        <v>130</v>
      </c>
      <c r="C8" s="91"/>
      <c r="D8" t="s">
        <v>431</v>
      </c>
      <c r="E8" s="5" t="str">
        <f t="shared" si="0"/>
        <v>RAL_5004_Schwarzblau</v>
      </c>
      <c r="F8" s="237" t="s">
        <v>574</v>
      </c>
      <c r="G8" s="5" t="str">
        <f t="shared" si="1"/>
        <v>&amp;H281E19&amp;</v>
      </c>
      <c r="H8" s="5">
        <f t="shared" si="2"/>
        <v>20</v>
      </c>
      <c r="I8" s="238" t="str">
        <f t="shared" si="3"/>
        <v>Case RAL_5004_Schwarzblau:      s = "Schwarzblau"</v>
      </c>
      <c r="J8" s="238" t="str">
        <f t="shared" si="4"/>
        <v>Case RAL_5004_Schwarzblau:      n = 5004</v>
      </c>
      <c r="K8" s="238" t="str">
        <f t="shared" si="5"/>
        <v>Case 5004: c = RAL_5004_Schwarzblau</v>
      </c>
      <c r="L8" s="238" t="str">
        <f t="shared" si="6"/>
        <v>MColor.CIELab(16, 0, -9)</v>
      </c>
      <c r="M8" s="238" t="str">
        <f t="shared" si="7"/>
        <v>m_Arr(i) = TNamedRALColor("Schwarzblau", 5004, RALClassic.RAL_5004_Schwarzblau, MColor.CIELab(16, 0, -9)):               i = i + 1</v>
      </c>
      <c r="N8" s="7">
        <v>16</v>
      </c>
      <c r="O8" s="7">
        <v>0</v>
      </c>
      <c r="P8" s="7">
        <v>-9</v>
      </c>
      <c r="Q8" s="8" t="s">
        <v>131</v>
      </c>
    </row>
    <row r="9" spans="1:17" ht="15" customHeight="1" x14ac:dyDescent="0.25">
      <c r="A9" s="3">
        <v>5005</v>
      </c>
      <c r="B9" s="5" t="s">
        <v>132</v>
      </c>
      <c r="C9" s="92"/>
      <c r="D9" t="s">
        <v>432</v>
      </c>
      <c r="E9" s="5" t="str">
        <f t="shared" si="0"/>
        <v>RAL_5005_Signalblau</v>
      </c>
      <c r="F9" s="237" t="s">
        <v>574</v>
      </c>
      <c r="G9" s="5" t="str">
        <f t="shared" si="1"/>
        <v>&amp;H875300&amp;</v>
      </c>
      <c r="H9" s="5">
        <f t="shared" si="2"/>
        <v>19</v>
      </c>
      <c r="I9" s="238" t="str">
        <f t="shared" si="3"/>
        <v>Case RAL_5005_Signalblau:       s = "Signalblau"</v>
      </c>
      <c r="J9" s="238" t="str">
        <f t="shared" si="4"/>
        <v>Case RAL_5005_Signalblau:       n = 5005</v>
      </c>
      <c r="K9" s="238" t="str">
        <f t="shared" si="5"/>
        <v>Case 5005: c = RAL_5005_Signalblau</v>
      </c>
      <c r="L9" s="238" t="str">
        <f t="shared" si="6"/>
        <v>MColor.CIELab(40, -11, -35)</v>
      </c>
      <c r="M9" s="238" t="str">
        <f t="shared" si="7"/>
        <v>m_Arr(i) = TNamedRALColor("Signalblau", 5005, RALClassic.RAL_5005_Signalblau, MColor.CIELab(40, -11, -35)):              i = i + 1</v>
      </c>
      <c r="N9" s="7">
        <v>40</v>
      </c>
      <c r="O9" s="7">
        <v>-11</v>
      </c>
      <c r="P9" s="7">
        <v>-35</v>
      </c>
      <c r="Q9" s="8" t="s">
        <v>133</v>
      </c>
    </row>
    <row r="10" spans="1:17" ht="15" customHeight="1" x14ac:dyDescent="0.25">
      <c r="A10" s="3">
        <v>5007</v>
      </c>
      <c r="B10" s="5" t="s">
        <v>134</v>
      </c>
      <c r="C10" s="93"/>
      <c r="D10" t="s">
        <v>433</v>
      </c>
      <c r="E10" s="5" t="str">
        <f t="shared" si="0"/>
        <v>RAL_5007_Brillantblau</v>
      </c>
      <c r="F10" s="237" t="s">
        <v>574</v>
      </c>
      <c r="G10" s="5" t="str">
        <f t="shared" si="1"/>
        <v>&amp;H8D6741&amp;</v>
      </c>
      <c r="H10" s="5">
        <f t="shared" si="2"/>
        <v>21</v>
      </c>
      <c r="I10" s="238" t="str">
        <f t="shared" si="3"/>
        <v>Case RAL_5007_Brillantblau:     s = "Brillantblau"</v>
      </c>
      <c r="J10" s="238" t="str">
        <f t="shared" si="4"/>
        <v>Case RAL_5007_Brillantblau:     n = 5007</v>
      </c>
      <c r="K10" s="238" t="str">
        <f t="shared" si="5"/>
        <v>Case 5007: c = RAL_5007_Brillantblau</v>
      </c>
      <c r="L10" s="238" t="str">
        <f t="shared" si="6"/>
        <v>MColor.CIELab(46.37, -6.24, -21.71)</v>
      </c>
      <c r="M10" s="238" t="str">
        <f t="shared" si="7"/>
        <v>m_Arr(i) = TNamedRALColor("Brillantblau", 5007, RALClassic.RAL_5007_Brillantblau, MColor.CIELab(46.37, -6.24, -21.71)):  i = i + 1</v>
      </c>
      <c r="N10" s="7">
        <v>46.37</v>
      </c>
      <c r="O10" s="7">
        <v>-6.24</v>
      </c>
      <c r="P10" s="7">
        <v>-21.71</v>
      </c>
      <c r="Q10" s="5"/>
    </row>
    <row r="11" spans="1:17" ht="15" customHeight="1" x14ac:dyDescent="0.25">
      <c r="A11" s="3">
        <v>5008</v>
      </c>
      <c r="B11" s="5" t="s">
        <v>135</v>
      </c>
      <c r="C11" s="94"/>
      <c r="D11" t="s">
        <v>434</v>
      </c>
      <c r="E11" s="5" t="str">
        <f t="shared" si="0"/>
        <v>RAL_5008_Graublau</v>
      </c>
      <c r="F11" s="237" t="s">
        <v>574</v>
      </c>
      <c r="G11" s="5" t="str">
        <f t="shared" si="1"/>
        <v>&amp;H483C31&amp;</v>
      </c>
      <c r="H11" s="5">
        <f t="shared" si="2"/>
        <v>17</v>
      </c>
      <c r="I11" s="238" t="str">
        <f t="shared" si="3"/>
        <v>Case RAL_5008_Graublau:         s = "Graublau"</v>
      </c>
      <c r="J11" s="238" t="str">
        <f t="shared" si="4"/>
        <v>Case RAL_5008_Graublau:         n = 5008</v>
      </c>
      <c r="K11" s="238" t="str">
        <f t="shared" si="5"/>
        <v>Case 5008: c = RAL_5008_Graublau</v>
      </c>
      <c r="L11" s="238" t="str">
        <f t="shared" si="6"/>
        <v>MColor.CIELab(32, -2.09, -6.07)</v>
      </c>
      <c r="M11" s="238" t="str">
        <f t="shared" si="7"/>
        <v>m_Arr(i) = TNamedRALColor("Graublau", 5008, RALClassic.RAL_5008_Graublau, MColor.CIELab(32, -2.09, -6.07)):              i = i + 1</v>
      </c>
      <c r="N11" s="7">
        <v>32</v>
      </c>
      <c r="O11" s="7">
        <v>-2.09</v>
      </c>
      <c r="P11" s="7">
        <v>-6.07</v>
      </c>
      <c r="Q11" s="5"/>
    </row>
    <row r="12" spans="1:17" ht="15" customHeight="1" x14ac:dyDescent="0.25">
      <c r="A12" s="3">
        <v>5009</v>
      </c>
      <c r="B12" s="8" t="s">
        <v>136</v>
      </c>
      <c r="C12" s="95"/>
      <c r="D12" t="s">
        <v>435</v>
      </c>
      <c r="E12" s="5" t="str">
        <f t="shared" si="0"/>
        <v>RAL_5009_Azurblau</v>
      </c>
      <c r="F12" s="237" t="s">
        <v>574</v>
      </c>
      <c r="G12" s="5" t="str">
        <f t="shared" si="1"/>
        <v>&amp;H78592E&amp;</v>
      </c>
      <c r="H12" s="5">
        <f t="shared" si="2"/>
        <v>17</v>
      </c>
      <c r="I12" s="238" t="str">
        <f t="shared" si="3"/>
        <v>Case RAL_5009_Azurblau:         s = "Azurblau"</v>
      </c>
      <c r="J12" s="238" t="str">
        <f t="shared" si="4"/>
        <v>Case RAL_5009_Azurblau:         n = 5009</v>
      </c>
      <c r="K12" s="238" t="str">
        <f t="shared" si="5"/>
        <v>Case 5009: c = RAL_5009_Azurblau</v>
      </c>
      <c r="L12" s="238" t="str">
        <f t="shared" si="6"/>
        <v>MColor.CIELab(41.22, -9.56, -18.34)</v>
      </c>
      <c r="M12" s="238" t="str">
        <f t="shared" si="7"/>
        <v>m_Arr(i) = TNamedRALColor("Azurblau", 5009, RALClassic.RAL_5009_Azurblau, MColor.CIELab(41.22, -9.56, -18.34)):          i = i + 1</v>
      </c>
      <c r="N12" s="7">
        <v>41.22</v>
      </c>
      <c r="O12" s="7">
        <v>-9.56</v>
      </c>
      <c r="P12" s="7">
        <v>-18.34</v>
      </c>
      <c r="Q12" s="5"/>
    </row>
    <row r="13" spans="1:17" ht="15" customHeight="1" x14ac:dyDescent="0.25">
      <c r="A13" s="3">
        <v>5010</v>
      </c>
      <c r="B13" s="5" t="s">
        <v>137</v>
      </c>
      <c r="C13" s="96"/>
      <c r="D13" t="s">
        <v>436</v>
      </c>
      <c r="E13" s="5" t="str">
        <f t="shared" si="0"/>
        <v>RAL_5010_Enzianblau</v>
      </c>
      <c r="F13" s="237" t="s">
        <v>574</v>
      </c>
      <c r="G13" s="5" t="str">
        <f t="shared" si="1"/>
        <v>&amp;H7C4F00&amp;</v>
      </c>
      <c r="H13" s="5">
        <f t="shared" si="2"/>
        <v>19</v>
      </c>
      <c r="I13" s="238" t="str">
        <f t="shared" si="3"/>
        <v>Case RAL_5010_Enzianblau:       s = "Enzianblau"</v>
      </c>
      <c r="J13" s="238" t="str">
        <f t="shared" si="4"/>
        <v>Case RAL_5010_Enzianblau:       n = 5010</v>
      </c>
      <c r="K13" s="238" t="str">
        <f t="shared" si="5"/>
        <v>Case 5010: c = RAL_5010_Enzianblau</v>
      </c>
      <c r="L13" s="238" t="str">
        <f t="shared" si="6"/>
        <v>MColor.CIELab(39, -12, -32)</v>
      </c>
      <c r="M13" s="238" t="str">
        <f t="shared" si="7"/>
        <v>m_Arr(i) = TNamedRALColor("Enzianblau", 5010, RALClassic.RAL_5010_Enzianblau, MColor.CIELab(39, -12, -32)):              i = i + 1</v>
      </c>
      <c r="N13" s="7">
        <v>39</v>
      </c>
      <c r="O13" s="7">
        <v>-12</v>
      </c>
      <c r="P13" s="7">
        <v>-32</v>
      </c>
      <c r="Q13" s="5" t="s">
        <v>138</v>
      </c>
    </row>
    <row r="14" spans="1:17" ht="15" customHeight="1" x14ac:dyDescent="0.25">
      <c r="A14" s="3">
        <v>5011</v>
      </c>
      <c r="B14" s="8" t="s">
        <v>139</v>
      </c>
      <c r="C14" s="97"/>
      <c r="D14" t="s">
        <v>437</v>
      </c>
      <c r="E14" s="5" t="str">
        <f t="shared" si="0"/>
        <v>RAL_5011_Stahlblau</v>
      </c>
      <c r="F14" s="237" t="s">
        <v>574</v>
      </c>
      <c r="G14" s="5" t="str">
        <f t="shared" si="1"/>
        <v>&amp;H3C2B1A&amp;</v>
      </c>
      <c r="H14" s="5">
        <f t="shared" si="2"/>
        <v>18</v>
      </c>
      <c r="I14" s="238" t="str">
        <f t="shared" si="3"/>
        <v>Case RAL_5011_Stahlblau:        s = "Stahlblau"</v>
      </c>
      <c r="J14" s="238" t="str">
        <f t="shared" si="4"/>
        <v>Case RAL_5011_Stahlblau:        n = 5011</v>
      </c>
      <c r="K14" s="238" t="str">
        <f t="shared" si="5"/>
        <v>Case 5011: c = RAL_5011_Stahlblau</v>
      </c>
      <c r="L14" s="238" t="str">
        <f t="shared" si="6"/>
        <v>MColor.CIELab(23, -4, -15)</v>
      </c>
      <c r="M14" s="238" t="str">
        <f t="shared" si="7"/>
        <v>m_Arr(i) = TNamedRALColor("Stahlblau", 5011, RALClassic.RAL_5011_Stahlblau, MColor.CIELab(23, -4, -15)):                 i = i + 1</v>
      </c>
      <c r="N14" s="7">
        <v>23</v>
      </c>
      <c r="O14" s="7">
        <v>-4</v>
      </c>
      <c r="P14" s="7">
        <v>-15</v>
      </c>
      <c r="Q14" s="8" t="s">
        <v>140</v>
      </c>
    </row>
    <row r="15" spans="1:17" ht="15" customHeight="1" x14ac:dyDescent="0.25">
      <c r="A15" s="3">
        <v>5012</v>
      </c>
      <c r="B15" s="8" t="s">
        <v>141</v>
      </c>
      <c r="C15" s="98"/>
      <c r="D15" t="s">
        <v>438</v>
      </c>
      <c r="E15" s="5" t="str">
        <f t="shared" si="0"/>
        <v>RAL_5012_Lichtblau</v>
      </c>
      <c r="F15" s="237" t="s">
        <v>574</v>
      </c>
      <c r="G15" s="5" t="str">
        <f t="shared" si="1"/>
        <v>&amp;HB88134&amp;</v>
      </c>
      <c r="H15" s="5">
        <f t="shared" si="2"/>
        <v>18</v>
      </c>
      <c r="I15" s="238" t="str">
        <f t="shared" si="3"/>
        <v>Case RAL_5012_Lichtblau:        s = "Lichtblau"</v>
      </c>
      <c r="J15" s="238" t="str">
        <f t="shared" si="4"/>
        <v>Case RAL_5012_Lichtblau:        n = 5012</v>
      </c>
      <c r="K15" s="238" t="str">
        <f t="shared" si="5"/>
        <v>Case 5012: c = RAL_5012_Lichtblau</v>
      </c>
      <c r="L15" s="238" t="str">
        <f t="shared" si="6"/>
        <v>MColor.CIELab(55.62, -13.84, -30.72)</v>
      </c>
      <c r="M15" s="238" t="str">
        <f t="shared" si="7"/>
        <v>m_Arr(i) = TNamedRALColor("Lichtblau", 5012, RALClassic.RAL_5012_Lichtblau, MColor.CIELab(55.62, -13.84, -30.72)):       i = i + 1</v>
      </c>
      <c r="N15" s="7">
        <v>55.62</v>
      </c>
      <c r="O15" s="7">
        <v>-13.84</v>
      </c>
      <c r="P15" s="7">
        <v>-30.72</v>
      </c>
      <c r="Q15" s="5"/>
    </row>
    <row r="16" spans="1:17" ht="15" customHeight="1" x14ac:dyDescent="0.25">
      <c r="A16" s="3">
        <v>5013</v>
      </c>
      <c r="B16" s="8" t="s">
        <v>142</v>
      </c>
      <c r="C16" s="99"/>
      <c r="D16" t="s">
        <v>439</v>
      </c>
      <c r="E16" s="5" t="str">
        <f t="shared" si="0"/>
        <v>RAL_5013_Kobaltblau</v>
      </c>
      <c r="F16" s="237" t="s">
        <v>574</v>
      </c>
      <c r="G16" s="5" t="str">
        <f t="shared" si="1"/>
        <v>&amp;H533119&amp;</v>
      </c>
      <c r="H16" s="5">
        <f t="shared" si="2"/>
        <v>19</v>
      </c>
      <c r="I16" s="238" t="str">
        <f t="shared" si="3"/>
        <v>Case RAL_5013_Kobaltblau:       s = "Kobaltblau"</v>
      </c>
      <c r="J16" s="238" t="str">
        <f t="shared" si="4"/>
        <v>Case RAL_5013_Kobaltblau:       n = 5013</v>
      </c>
      <c r="K16" s="238" t="str">
        <f t="shared" si="5"/>
        <v>Case 5013: c = RAL_5013_Kobaltblau</v>
      </c>
      <c r="L16" s="238" t="str">
        <f t="shared" si="6"/>
        <v>MColor.CIELab(26, -2, -26)</v>
      </c>
      <c r="M16" s="238" t="str">
        <f t="shared" si="7"/>
        <v>m_Arr(i) = TNamedRALColor("Kobaltblau", 5013, RALClassic.RAL_5013_Kobaltblau, MColor.CIELab(26, -2, -26)):               i = i + 1</v>
      </c>
      <c r="N16" s="7">
        <v>26</v>
      </c>
      <c r="O16" s="7">
        <v>-2</v>
      </c>
      <c r="P16" s="7">
        <v>-26</v>
      </c>
      <c r="Q16" s="5" t="s">
        <v>143</v>
      </c>
    </row>
    <row r="17" spans="1:17" ht="15" customHeight="1" x14ac:dyDescent="0.25">
      <c r="A17" s="3">
        <v>5014</v>
      </c>
      <c r="B17" s="5" t="s">
        <v>144</v>
      </c>
      <c r="C17" s="100"/>
      <c r="D17" t="s">
        <v>440</v>
      </c>
      <c r="E17" s="5" t="str">
        <f t="shared" si="0"/>
        <v>RAL_5014_Taubenblau</v>
      </c>
      <c r="F17" s="237" t="s">
        <v>574</v>
      </c>
      <c r="G17" s="5" t="str">
        <f t="shared" si="1"/>
        <v>&amp;H987C6C&amp;</v>
      </c>
      <c r="H17" s="5">
        <f t="shared" si="2"/>
        <v>19</v>
      </c>
      <c r="I17" s="238" t="str">
        <f t="shared" si="3"/>
        <v>Case RAL_5014_Taubenblau:       s = "Taubenblau"</v>
      </c>
      <c r="J17" s="238" t="str">
        <f t="shared" si="4"/>
        <v>Case RAL_5014_Taubenblau:       n = 5014</v>
      </c>
      <c r="K17" s="238" t="str">
        <f t="shared" si="5"/>
        <v>Case 5014: c = RAL_5014_Taubenblau</v>
      </c>
      <c r="L17" s="238" t="str">
        <f t="shared" si="6"/>
        <v>MColor.CIELab(53.79, -2.64, -15.59)</v>
      </c>
      <c r="M17" s="238" t="str">
        <f t="shared" si="7"/>
        <v>m_Arr(i) = TNamedRALColor("Taubenblau", 5014, RALClassic.RAL_5014_Taubenblau, MColor.CIELab(53.79, -2.64, -15.59)):      i = i + 1</v>
      </c>
      <c r="N17" s="7">
        <v>53.79</v>
      </c>
      <c r="O17" s="7">
        <v>-2.64</v>
      </c>
      <c r="P17" s="7">
        <v>-15.59</v>
      </c>
      <c r="Q17" s="5"/>
    </row>
    <row r="18" spans="1:17" ht="15" customHeight="1" x14ac:dyDescent="0.25">
      <c r="A18" s="3">
        <v>5015</v>
      </c>
      <c r="B18" s="8" t="s">
        <v>145</v>
      </c>
      <c r="C18" s="101"/>
      <c r="D18" t="s">
        <v>441</v>
      </c>
      <c r="E18" s="5" t="str">
        <f t="shared" si="0"/>
        <v>RAL_5015_Himmelblau</v>
      </c>
      <c r="F18" s="237" t="s">
        <v>574</v>
      </c>
      <c r="G18" s="5" t="str">
        <f t="shared" si="1"/>
        <v>&amp;HB27428&amp;</v>
      </c>
      <c r="H18" s="5">
        <f t="shared" si="2"/>
        <v>19</v>
      </c>
      <c r="I18" s="238" t="str">
        <f t="shared" si="3"/>
        <v>Case RAL_5015_Himmelblau:       s = "Himmelblau"</v>
      </c>
      <c r="J18" s="238" t="str">
        <f t="shared" si="4"/>
        <v>Case RAL_5015_Himmelblau:       n = 5015</v>
      </c>
      <c r="K18" s="238" t="str">
        <f t="shared" si="5"/>
        <v>Case 5015: c = RAL_5015_Himmelblau</v>
      </c>
      <c r="L18" s="238" t="str">
        <f t="shared" si="6"/>
        <v>MColor.CIELab(51.13, -12.69, -34.21)</v>
      </c>
      <c r="M18" s="238" t="str">
        <f t="shared" si="7"/>
        <v>m_Arr(i) = TNamedRALColor("Himmelblau", 5015, RALClassic.RAL_5015_Himmelblau, MColor.CIELab(51.13, -12.69, -34.21)):     i = i + 1</v>
      </c>
      <c r="N18" s="7">
        <v>51.13</v>
      </c>
      <c r="O18" s="7">
        <v>-12.69</v>
      </c>
      <c r="P18" s="7">
        <v>-34.21</v>
      </c>
      <c r="Q18" s="5" t="s">
        <v>146</v>
      </c>
    </row>
    <row r="19" spans="1:17" ht="15" customHeight="1" x14ac:dyDescent="0.25">
      <c r="A19" s="3">
        <v>5017</v>
      </c>
      <c r="B19" s="8" t="s">
        <v>147</v>
      </c>
      <c r="C19" s="102"/>
      <c r="D19" t="s">
        <v>442</v>
      </c>
      <c r="E19" s="5" t="str">
        <f t="shared" si="0"/>
        <v>RAL_5017_Verkehrsblau</v>
      </c>
      <c r="F19" s="237" t="s">
        <v>574</v>
      </c>
      <c r="G19" s="5" t="str">
        <f t="shared" si="1"/>
        <v>&amp;H8C5A00&amp;</v>
      </c>
      <c r="H19" s="5">
        <f t="shared" si="2"/>
        <v>21</v>
      </c>
      <c r="I19" s="238" t="str">
        <f t="shared" si="3"/>
        <v>Case RAL_5017_Verkehrsblau:     s = "Verkehrsblau"</v>
      </c>
      <c r="J19" s="238" t="str">
        <f t="shared" si="4"/>
        <v>Case RAL_5017_Verkehrsblau:     n = 5017</v>
      </c>
      <c r="K19" s="238" t="str">
        <f t="shared" si="5"/>
        <v>Case 5017: c = RAL_5017_Verkehrsblau</v>
      </c>
      <c r="L19" s="238" t="str">
        <f t="shared" si="6"/>
        <v>MColor.CIELab(34.82, -13.49, -36.36)</v>
      </c>
      <c r="M19" s="238" t="str">
        <f t="shared" si="7"/>
        <v>m_Arr(i) = TNamedRALColor("Verkehrsblau", 5017, RALClassic.RAL_5017_Verkehrsblau, MColor.CIELab(34.82, -13.49, -36.36)): i = i + 1</v>
      </c>
      <c r="N19" s="7">
        <v>34.82</v>
      </c>
      <c r="O19" s="7">
        <v>-13.49</v>
      </c>
      <c r="P19" s="7">
        <v>-36.36</v>
      </c>
      <c r="Q19" s="5" t="s">
        <v>148</v>
      </c>
    </row>
    <row r="20" spans="1:17" ht="15" customHeight="1" x14ac:dyDescent="0.25">
      <c r="A20" s="3">
        <v>5018</v>
      </c>
      <c r="B20" s="8" t="s">
        <v>149</v>
      </c>
      <c r="C20" s="103"/>
      <c r="D20" t="s">
        <v>443</v>
      </c>
      <c r="E20" s="5" t="str">
        <f t="shared" si="0"/>
        <v>RAL_5018_Türkisblau</v>
      </c>
      <c r="F20" s="237" t="s">
        <v>574</v>
      </c>
      <c r="G20" s="5" t="str">
        <f t="shared" si="1"/>
        <v>&amp;H8F8821&amp;</v>
      </c>
      <c r="H20" s="5">
        <f t="shared" si="2"/>
        <v>19</v>
      </c>
      <c r="I20" s="238" t="str">
        <f t="shared" si="3"/>
        <v>Case RAL_5018_Türkisblau:       s = "Türkisblau"</v>
      </c>
      <c r="J20" s="238" t="str">
        <f t="shared" si="4"/>
        <v>Case RAL_5018_Türkisblau:       n = 5018</v>
      </c>
      <c r="K20" s="238" t="str">
        <f t="shared" si="5"/>
        <v>Case 5018: c = RAL_5018_Türkisblau</v>
      </c>
      <c r="L20" s="238" t="str">
        <f t="shared" si="6"/>
        <v>MColor.CIELab(55.13, -27.27, -8.47)</v>
      </c>
      <c r="M20" s="238" t="str">
        <f t="shared" si="7"/>
        <v>m_Arr(i) = TNamedRALColor("Türkisblau", 5018, RALClassic.RAL_5018_Türkisblau, MColor.CIELab(55.13, -27.27, -8.47)):      i = i + 1</v>
      </c>
      <c r="N20" s="7">
        <v>55.13</v>
      </c>
      <c r="O20" s="7">
        <v>-27.27</v>
      </c>
      <c r="P20" s="7">
        <v>-8.4700000000000006</v>
      </c>
      <c r="Q20" s="5"/>
    </row>
    <row r="21" spans="1:17" ht="15" customHeight="1" x14ac:dyDescent="0.25">
      <c r="A21" s="3">
        <v>5019</v>
      </c>
      <c r="B21" s="5" t="s">
        <v>150</v>
      </c>
      <c r="C21" s="104"/>
      <c r="D21" t="s">
        <v>444</v>
      </c>
      <c r="E21" s="5" t="str">
        <f t="shared" si="0"/>
        <v>RAL_5019_Capriblau</v>
      </c>
      <c r="F21" s="237" t="s">
        <v>574</v>
      </c>
      <c r="G21" s="5" t="str">
        <f t="shared" si="1"/>
        <v>&amp;H84571A&amp;</v>
      </c>
      <c r="H21" s="5">
        <f t="shared" si="2"/>
        <v>18</v>
      </c>
      <c r="I21" s="238" t="str">
        <f t="shared" si="3"/>
        <v>Case RAL_5019_Capriblau:        s = "Capriblau"</v>
      </c>
      <c r="J21" s="238" t="str">
        <f t="shared" si="4"/>
        <v>Case RAL_5019_Capriblau:        n = 5019</v>
      </c>
      <c r="K21" s="238" t="str">
        <f t="shared" si="5"/>
        <v>Case 5019: c = RAL_5019_Capriblau</v>
      </c>
      <c r="L21" s="238" t="str">
        <f t="shared" si="6"/>
        <v>MColor.CIELab(41.18, -9.97, -25.87)</v>
      </c>
      <c r="M21" s="238" t="str">
        <f t="shared" si="7"/>
        <v>m_Arr(i) = TNamedRALColor("Capriblau", 5019, RALClassic.RAL_5019_Capriblau, MColor.CIELab(41.18, -9.97, -25.87)):        i = i + 1</v>
      </c>
      <c r="N21" s="7">
        <v>41.18</v>
      </c>
      <c r="O21" s="7">
        <v>-9.9700000000000006</v>
      </c>
      <c r="P21" s="7">
        <v>-25.87</v>
      </c>
      <c r="Q21" s="5"/>
    </row>
    <row r="22" spans="1:17" ht="15" customHeight="1" x14ac:dyDescent="0.25">
      <c r="A22" s="3">
        <v>5020</v>
      </c>
      <c r="B22" s="5" t="s">
        <v>151</v>
      </c>
      <c r="C22" s="105"/>
      <c r="D22" t="s">
        <v>445</v>
      </c>
      <c r="E22" s="5" t="str">
        <f t="shared" si="0"/>
        <v>RAL_5020_Ozeanblau</v>
      </c>
      <c r="F22" s="237" t="s">
        <v>574</v>
      </c>
      <c r="G22" s="5" t="str">
        <f t="shared" si="1"/>
        <v>&amp;H51410B&amp;</v>
      </c>
      <c r="H22" s="5">
        <f t="shared" si="2"/>
        <v>18</v>
      </c>
      <c r="I22" s="238" t="str">
        <f t="shared" si="3"/>
        <v>Case RAL_5020_Ozeanblau:        s = "Ozeanblau"</v>
      </c>
      <c r="J22" s="238" t="str">
        <f t="shared" si="4"/>
        <v>Case RAL_5020_Ozeanblau:        n = 5020</v>
      </c>
      <c r="K22" s="238" t="str">
        <f t="shared" si="5"/>
        <v>Case 5020: c = RAL_5020_Ozeanblau</v>
      </c>
      <c r="L22" s="238" t="str">
        <f t="shared" si="6"/>
        <v>MColor.CIELab(32.3, -13.01, -9.39)</v>
      </c>
      <c r="M22" s="238" t="str">
        <f t="shared" si="7"/>
        <v>m_Arr(i) = TNamedRALColor("Ozeanblau", 5020, RALClassic.RAL_5020_Ozeanblau, MColor.CIELab(32.3, -13.01, -9.39)):         i = i + 1</v>
      </c>
      <c r="N22" s="7">
        <v>32.299999999999997</v>
      </c>
      <c r="O22" s="7">
        <v>-13.01</v>
      </c>
      <c r="P22" s="7">
        <v>-9.39</v>
      </c>
      <c r="Q22" s="5"/>
    </row>
    <row r="23" spans="1:17" ht="15" customHeight="1" x14ac:dyDescent="0.25">
      <c r="A23" s="3">
        <v>5021</v>
      </c>
      <c r="B23" s="5" t="s">
        <v>152</v>
      </c>
      <c r="C23" s="106"/>
      <c r="D23" t="s">
        <v>446</v>
      </c>
      <c r="E23" s="5" t="str">
        <f t="shared" si="0"/>
        <v>RAL_5021_Wasserblau</v>
      </c>
      <c r="F23" s="237" t="s">
        <v>574</v>
      </c>
      <c r="G23" s="5" t="str">
        <f t="shared" si="1"/>
        <v>&amp;H7A7307&amp;</v>
      </c>
      <c r="H23" s="5">
        <f t="shared" si="2"/>
        <v>19</v>
      </c>
      <c r="I23" s="238" t="str">
        <f t="shared" si="3"/>
        <v>Case RAL_5021_Wasserblau:       s = "Wasserblau"</v>
      </c>
      <c r="J23" s="238" t="str">
        <f t="shared" si="4"/>
        <v>Case RAL_5021_Wasserblau:       n = 5021</v>
      </c>
      <c r="K23" s="238" t="str">
        <f t="shared" si="5"/>
        <v>Case 5021: c = RAL_5021_Wasserblau</v>
      </c>
      <c r="L23" s="238" t="str">
        <f t="shared" si="6"/>
        <v>MColor.CIELab(47.15, -29.26, -9.32)</v>
      </c>
      <c r="M23" s="238" t="str">
        <f t="shared" si="7"/>
        <v>m_Arr(i) = TNamedRALColor("Wasserblau", 5021, RALClassic.RAL_5021_Wasserblau, MColor.CIELab(47.15, -29.26, -9.32)):      i = i + 1</v>
      </c>
      <c r="N23" s="7">
        <v>47.15</v>
      </c>
      <c r="O23" s="7">
        <v>-29.26</v>
      </c>
      <c r="P23" s="7">
        <v>-9.32</v>
      </c>
      <c r="Q23" s="5"/>
    </row>
    <row r="24" spans="1:17" ht="15" customHeight="1" x14ac:dyDescent="0.25">
      <c r="A24" s="3">
        <v>5022</v>
      </c>
      <c r="B24" s="5" t="s">
        <v>153</v>
      </c>
      <c r="C24" s="107"/>
      <c r="D24" t="s">
        <v>447</v>
      </c>
      <c r="E24" s="5" t="str">
        <f t="shared" si="0"/>
        <v>RAL_5022_Nachtblau</v>
      </c>
      <c r="F24" s="237" t="s">
        <v>574</v>
      </c>
      <c r="G24" s="5" t="str">
        <f t="shared" si="1"/>
        <v>&amp;H5A2D22&amp;</v>
      </c>
      <c r="H24" s="5">
        <f t="shared" si="2"/>
        <v>18</v>
      </c>
      <c r="I24" s="238" t="str">
        <f t="shared" si="3"/>
        <v>Case RAL_5022_Nachtblau:        s = "Nachtblau"</v>
      </c>
      <c r="J24" s="238" t="str">
        <f t="shared" si="4"/>
        <v>Case RAL_5022_Nachtblau:        n = 5022</v>
      </c>
      <c r="K24" s="238" t="str">
        <f t="shared" si="5"/>
        <v>Case 5022: c = RAL_5022_Nachtblau</v>
      </c>
      <c r="L24" s="238" t="str">
        <f t="shared" si="6"/>
        <v>MColor.CIELab(26, 6, -30)</v>
      </c>
      <c r="M24" s="238" t="str">
        <f t="shared" si="7"/>
        <v>m_Arr(i) = TNamedRALColor("Nachtblau", 5022, RALClassic.RAL_5022_Nachtblau, MColor.CIELab(26, 6, -30)):                  i = i + 1</v>
      </c>
      <c r="N24" s="7">
        <v>26</v>
      </c>
      <c r="O24" s="7">
        <v>6</v>
      </c>
      <c r="P24" s="7">
        <v>-30</v>
      </c>
      <c r="Q24" s="8" t="s">
        <v>154</v>
      </c>
    </row>
    <row r="25" spans="1:17" ht="15" customHeight="1" x14ac:dyDescent="0.25">
      <c r="A25" s="3">
        <v>5023</v>
      </c>
      <c r="B25" s="5" t="s">
        <v>155</v>
      </c>
      <c r="C25" s="108"/>
      <c r="D25" t="s">
        <v>448</v>
      </c>
      <c r="E25" s="5" t="str">
        <f t="shared" si="0"/>
        <v>RAL_5023_Fernblau</v>
      </c>
      <c r="F25" s="237" t="s">
        <v>574</v>
      </c>
      <c r="G25" s="5" t="str">
        <f t="shared" si="1"/>
        <v>&amp;H8E664D&amp;</v>
      </c>
      <c r="H25" s="5">
        <f t="shared" si="2"/>
        <v>17</v>
      </c>
      <c r="I25" s="238" t="str">
        <f t="shared" si="3"/>
        <v>Case RAL_5023_Fernblau:         s = "Fernblau"</v>
      </c>
      <c r="J25" s="238" t="str">
        <f t="shared" si="4"/>
        <v>Case RAL_5023_Fernblau:         n = 5023</v>
      </c>
      <c r="K25" s="238" t="str">
        <f t="shared" si="5"/>
        <v>Case 5023: c = RAL_5023_Fernblau</v>
      </c>
      <c r="L25" s="238" t="str">
        <f t="shared" si="6"/>
        <v>MColor.CIELab(47.64, -2.96, -21.18)</v>
      </c>
      <c r="M25" s="238" t="str">
        <f t="shared" si="7"/>
        <v>m_Arr(i) = TNamedRALColor("Fernblau", 5023, RALClassic.RAL_5023_Fernblau, MColor.CIELab(47.64, -2.96, -21.18)):          i = i + 1</v>
      </c>
      <c r="N25" s="7">
        <v>47.64</v>
      </c>
      <c r="O25" s="7">
        <v>-2.96</v>
      </c>
      <c r="P25" s="7">
        <v>-21.18</v>
      </c>
      <c r="Q25" s="5"/>
    </row>
    <row r="26" spans="1:17" ht="15" customHeight="1" x14ac:dyDescent="0.25">
      <c r="A26" s="3">
        <v>5024</v>
      </c>
      <c r="B26" s="5" t="s">
        <v>156</v>
      </c>
      <c r="C26" s="109"/>
      <c r="D26" t="s">
        <v>449</v>
      </c>
      <c r="E26" s="5" t="str">
        <f t="shared" si="0"/>
        <v>RAL_5024_Pastellblau</v>
      </c>
      <c r="F26" s="237" t="s">
        <v>574</v>
      </c>
      <c r="G26" s="5" t="str">
        <f t="shared" si="1"/>
        <v>&amp;HB0936A&amp;</v>
      </c>
      <c r="H26" s="5">
        <f t="shared" si="2"/>
        <v>20</v>
      </c>
      <c r="I26" s="238" t="str">
        <f t="shared" si="3"/>
        <v>Case RAL_5024_Pastellblau:      s = "Pastellblau"</v>
      </c>
      <c r="J26" s="238" t="str">
        <f t="shared" si="4"/>
        <v>Case RAL_5024_Pastellblau:      n = 5024</v>
      </c>
      <c r="K26" s="238" t="str">
        <f t="shared" si="5"/>
        <v>Case 5024: c = RAL_5024_Pastellblau</v>
      </c>
      <c r="L26" s="238" t="str">
        <f t="shared" si="6"/>
        <v>MColor.CIELab(60.5, -9.53, -17.38)</v>
      </c>
      <c r="M26" s="238" t="str">
        <f t="shared" si="7"/>
        <v>m_Arr(i) = TNamedRALColor("Pastellblau", 5024, RALClassic.RAL_5024_Pastellblau, MColor.CIELab(60.5, -9.53, -17.38)):     i = i + 1</v>
      </c>
      <c r="N26" s="7">
        <v>60.5</v>
      </c>
      <c r="O26" s="7">
        <v>-9.5299999999999994</v>
      </c>
      <c r="P26" s="7">
        <v>-17.38</v>
      </c>
      <c r="Q26" s="5"/>
    </row>
    <row r="27" spans="1:17" ht="15" customHeight="1" x14ac:dyDescent="0.25">
      <c r="A27" s="3">
        <v>5025</v>
      </c>
      <c r="B27" s="5" t="s">
        <v>157</v>
      </c>
      <c r="C27" s="110"/>
      <c r="D27" t="s">
        <v>450</v>
      </c>
      <c r="E27" s="5" t="str">
        <f t="shared" si="0"/>
        <v>RAL_5025_Perlenzian</v>
      </c>
      <c r="F27" s="237" t="s">
        <v>574</v>
      </c>
      <c r="G27" s="5" t="str">
        <f t="shared" si="1"/>
        <v>&amp;H786429&amp;</v>
      </c>
      <c r="H27" s="5">
        <f t="shared" si="2"/>
        <v>19</v>
      </c>
      <c r="I27" s="238" t="str">
        <f t="shared" si="3"/>
        <v>Case RAL_5025_Perlenzian:       s = "Perlenzian"</v>
      </c>
      <c r="J27" s="238" t="str">
        <f t="shared" si="4"/>
        <v>Case RAL_5025_Perlenzian:       n = 5025</v>
      </c>
      <c r="K27" s="238" t="str">
        <f t="shared" si="5"/>
        <v>Case 5025: c = RAL_5025_Perlenzian</v>
      </c>
      <c r="L27" s="238" t="str">
        <f t="shared" si="6"/>
        <v>MColor.CIELab(35.93, -11.81, -16.28)</v>
      </c>
      <c r="M27" s="238" t="str">
        <f t="shared" si="7"/>
        <v>m_Arr(i) = TNamedRALColor("Perlenzian", 5025, RALClassic.RAL_5025_Perlenzian, MColor.CIELab(35.93, -11.81, -16.28)):     i = i + 1</v>
      </c>
      <c r="N27" s="7">
        <v>35.93</v>
      </c>
      <c r="O27" s="7">
        <v>-11.81</v>
      </c>
      <c r="P27" s="7">
        <v>-16.28</v>
      </c>
      <c r="Q27" s="5"/>
    </row>
    <row r="28" spans="1:17" ht="15" customHeight="1" x14ac:dyDescent="0.25">
      <c r="A28" s="3">
        <v>5026</v>
      </c>
      <c r="B28" s="5" t="s">
        <v>158</v>
      </c>
      <c r="C28" s="111"/>
      <c r="D28" t="s">
        <v>451</v>
      </c>
      <c r="E28" s="5" t="str">
        <f t="shared" si="0"/>
        <v>RAL_5026_Perlnachtblau</v>
      </c>
      <c r="F28" s="237" t="s">
        <v>574</v>
      </c>
      <c r="G28" s="5" t="str">
        <f t="shared" si="1"/>
        <v>&amp;H542C10&amp;</v>
      </c>
      <c r="H28" s="5">
        <f t="shared" si="2"/>
        <v>22</v>
      </c>
      <c r="I28" s="238" t="str">
        <f t="shared" si="3"/>
        <v>Case RAL_5026_Perlnachtblau:    s = "Perlnachtblau"</v>
      </c>
      <c r="J28" s="238" t="str">
        <f t="shared" si="4"/>
        <v>Case RAL_5026_Perlnachtblau:    n = 5026</v>
      </c>
      <c r="K28" s="238" t="str">
        <f t="shared" si="5"/>
        <v>Case 5026: c = RAL_5026_Perlnachtblau</v>
      </c>
      <c r="L28" s="238" t="str">
        <f t="shared" si="6"/>
        <v>MColor.CIELab(16, 7.84, -29.1)</v>
      </c>
      <c r="M28" s="238" t="str">
        <f t="shared" si="7"/>
        <v>m_Arr(i) = TNamedRALColor("Perlnachtblau", 5026, RALClassic.RAL_5026_Perlnachtblau, MColor.CIELab(16, 7.84, -29.1)):     i = i + 1</v>
      </c>
      <c r="N28" s="7">
        <v>16</v>
      </c>
      <c r="O28" s="7">
        <v>7.84</v>
      </c>
      <c r="P28" s="7">
        <v>-29.1</v>
      </c>
      <c r="Q28" s="5"/>
    </row>
    <row r="29" spans="1:17" ht="15" customHeight="1" x14ac:dyDescent="0.25"/>
    <row r="30" spans="1:17" ht="15" customHeight="1" x14ac:dyDescent="0.25"/>
    <row r="31" spans="1:17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400-000000000000}"/>
    <hyperlink ref="N3" r:id="rId2" tooltip="Lab-Farbraum" display="https://de.wikipedia.org/wiki/Lab-Farbraum" xr:uid="{00000000-0004-0000-0400-000001000000}"/>
    <hyperlink ref="Q5" r:id="rId3" location="cite_note-FarbkarteB2-6" display="https://de.wikipedia.org/wiki/RAL-Farbe - cite_note-FarbkarteB2-6" xr:uid="{00000000-0004-0000-0400-000002000000}"/>
    <hyperlink ref="B6" r:id="rId4" tooltip="Ultramarinblau" display="https://de.wikipedia.org/wiki/Ultramarinblau" xr:uid="{00000000-0004-0000-0400-000003000000}"/>
    <hyperlink ref="Q8" r:id="rId5" location="cite_note-FarbkarteB2-6" display="https://de.wikipedia.org/wiki/RAL-Farbe - cite_note-FarbkarteB2-6" xr:uid="{00000000-0004-0000-0400-000004000000}"/>
    <hyperlink ref="Q9" r:id="rId6" tooltip="Gebotszeichen" display="https://de.wikipedia.org/wiki/Gebotszeichen" xr:uid="{00000000-0004-0000-0400-000005000000}"/>
    <hyperlink ref="B12" r:id="rId7" tooltip="Azurblau" display="https://de.wikipedia.org/wiki/Azurblau" xr:uid="{00000000-0004-0000-0400-000006000000}"/>
    <hyperlink ref="B14" r:id="rId8" tooltip="Stahlblau" display="https://de.wikipedia.org/wiki/Stahlblau" xr:uid="{00000000-0004-0000-0400-000007000000}"/>
    <hyperlink ref="Q14" r:id="rId9" tooltip="Polizeiuniform (Deutschland)" display="https://de.wikipedia.org/wiki/Polizeiuniform_(Deutschland)" xr:uid="{00000000-0004-0000-0400-000008000000}"/>
    <hyperlink ref="B15" r:id="rId10" tooltip="Hellblau" display="https://de.wikipedia.org/wiki/Hellblau" xr:uid="{00000000-0004-0000-0400-000009000000}"/>
    <hyperlink ref="B16" r:id="rId11" location="Farblehre" tooltip="Thénards Blau" display="https://de.wikipedia.org/wiki/Th%C3%A9nards_Blau - Farblehre" xr:uid="{00000000-0004-0000-0400-00000A000000}"/>
    <hyperlink ref="B18" r:id="rId12" location="Himmelblau" tooltip="Hellblau" display="https://de.wikipedia.org/wiki/Hellblau - Himmelblau" xr:uid="{00000000-0004-0000-0400-00000B000000}"/>
    <hyperlink ref="B19" r:id="rId13" tooltip="Verkehrsblau" display="https://de.wikipedia.org/wiki/Verkehrsblau" xr:uid="{00000000-0004-0000-0400-00000C000000}"/>
    <hyperlink ref="B20" r:id="rId14" tooltip="Türkisblau" display="https://de.wikipedia.org/wiki/T%C3%BCrkisblau" xr:uid="{00000000-0004-0000-0400-00000D000000}"/>
    <hyperlink ref="Q24" r:id="rId15" tooltip="Lufthansa" display="https://de.wikipedia.org/wiki/Lufthansa" xr:uid="{00000000-0004-0000-0400-00000E000000}"/>
  </hyperlinks>
  <pageMargins left="0.7" right="0.7" top="0.78740157499999996" bottom="0.78740157499999996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Q41"/>
  <sheetViews>
    <sheetView topLeftCell="J3" workbookViewId="0">
      <selection activeCell="M4" sqref="M4"/>
    </sheetView>
  </sheetViews>
  <sheetFormatPr baseColWidth="10" defaultRowHeight="15" x14ac:dyDescent="0.25"/>
  <cols>
    <col min="2" max="2" width="18.7109375" customWidth="1"/>
    <col min="3" max="4" width="15.7109375" customWidth="1"/>
    <col min="5" max="5" width="24.28515625" bestFit="1" customWidth="1"/>
    <col min="6" max="6" width="2" bestFit="1" customWidth="1"/>
    <col min="7" max="7" width="12.7109375" customWidth="1"/>
    <col min="8" max="8" width="5.7109375" customWidth="1"/>
    <col min="9" max="9" width="53.140625" bestFit="1" customWidth="1"/>
    <col min="10" max="10" width="41.85546875" bestFit="1" customWidth="1"/>
    <col min="11" max="11" width="38.7109375" bestFit="1" customWidth="1"/>
    <col min="12" max="12" width="33.5703125" bestFit="1" customWidth="1"/>
    <col min="13" max="13" width="134.42578125" bestFit="1" customWidth="1"/>
    <col min="17" max="17" width="197.42578125" customWidth="1"/>
  </cols>
  <sheetData>
    <row r="1" spans="1:17" ht="18" x14ac:dyDescent="0.25">
      <c r="A1" s="2" t="s">
        <v>159</v>
      </c>
      <c r="M1" s="238"/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6000</v>
      </c>
      <c r="B4" s="8" t="s">
        <v>160</v>
      </c>
      <c r="C4" s="112"/>
      <c r="D4" t="s">
        <v>452</v>
      </c>
      <c r="E4" s="5" t="str">
        <f>"RAL" &amp; "_" &amp; A4 &amp; "_" &amp; B4</f>
        <v>RAL_6000_Patinagrün</v>
      </c>
      <c r="F4" s="237" t="s">
        <v>574</v>
      </c>
      <c r="G4" s="5" t="str">
        <f>D4 &amp; "&amp;"</f>
        <v>&amp;H60743C&amp;</v>
      </c>
      <c r="H4" s="5">
        <f>LEN(E4)</f>
        <v>19</v>
      </c>
      <c r="I4" s="238" t="str">
        <f>"Case "&amp; "RAL" &amp; "_"&amp; A4 &amp;"_"&amp;B4&amp;": "&amp;REPT(" ",25-LEN(E4))&amp;"s = """&amp;B4&amp;""""</f>
        <v>Case RAL_6000_Patinagrün:       s = "Patinagrün"</v>
      </c>
      <c r="J4" s="238" t="str">
        <f>"Case " &amp; "RAL" &amp; "_" &amp; A4 &amp;"_"&amp;B4&amp;": "&amp;REPT(" ",25-H4) &amp; "n = " &amp; A4</f>
        <v>Case RAL_6000_Patinagrün:       n = 6000</v>
      </c>
      <c r="K4" s="238" t="str">
        <f>"Case " &amp; A4 &amp; ": c = " &amp; "RAL" &amp; "_" &amp; A4 &amp; "_" &amp; B4</f>
        <v>Case 6000: c = RAL_6000_Patinagrün</v>
      </c>
      <c r="L4" s="238" t="str">
        <f xml:space="preserve"> "MColor.CIELab(" &amp; SUBSTITUTE(N4, ",", ".") &amp; ", " &amp; SUBSTITUTE(O4, ",", ".") &amp; ", " &amp; SUBSTITUTE(P4, ",", ".") &amp; ")"</f>
        <v>MColor.CIELab(51, -24, 3)</v>
      </c>
      <c r="M4" s="238" t="str">
        <f>"m_Arr(i) = TNamedRALColor(""" &amp; B4 &amp; """, " &amp; A4 &amp; ", RALClassic." &amp; E4 &amp; ", " &amp; L4 &amp; "): " &amp; REPT(" ", (70-LEN(L4))-2*H4) &amp; "i = i + 1"</f>
        <v>m_Arr(i) = TNamedRALColor("Patinagrün", 6000, RALClassic.RAL_6000_Patinagrün, MColor.CIELab(51, -24, 3)):        i = i + 1</v>
      </c>
      <c r="N4" s="7">
        <v>51</v>
      </c>
      <c r="O4" s="7">
        <v>-24</v>
      </c>
      <c r="P4" s="7">
        <v>3</v>
      </c>
      <c r="Q4" s="8" t="s">
        <v>161</v>
      </c>
    </row>
    <row r="5" spans="1:17" ht="15" customHeight="1" x14ac:dyDescent="0.25">
      <c r="A5" s="3">
        <v>6001</v>
      </c>
      <c r="B5" s="5" t="s">
        <v>162</v>
      </c>
      <c r="C5" s="113"/>
      <c r="D5" t="s">
        <v>453</v>
      </c>
      <c r="E5" s="5" t="str">
        <f t="shared" ref="E5:E40" si="0">"RAL" &amp; "_" &amp; A5 &amp; "_" &amp; B5</f>
        <v>RAL_6001_Smaragdgrün</v>
      </c>
      <c r="F5" s="237" t="s">
        <v>574</v>
      </c>
      <c r="G5" s="5" t="str">
        <f t="shared" ref="G5:G40" si="1">D5 &amp; "&amp;"</f>
        <v>&amp;H356736&amp;</v>
      </c>
      <c r="H5" s="5">
        <f t="shared" ref="H5:H40" si="2">LEN(E5)</f>
        <v>20</v>
      </c>
      <c r="I5" s="238" t="str">
        <f t="shared" ref="I5:I40" si="3">"Case "&amp; "RAL" &amp; "_"&amp; A5 &amp;"_"&amp;B5&amp;": "&amp;REPT(" ",25-LEN(E5))&amp;"s = """&amp;B5&amp;""""</f>
        <v>Case RAL_6001_Smaragdgrün:      s = "Smaragdgrün"</v>
      </c>
      <c r="J5" s="238" t="str">
        <f t="shared" ref="J5:J40" si="4">"Case " &amp; "RAL" &amp; "_" &amp; A5 &amp;"_"&amp;B5&amp;": "&amp;REPT(" ",25-H5) &amp; "n = " &amp; A5</f>
        <v>Case RAL_6001_Smaragdgrün:      n = 6001</v>
      </c>
      <c r="K5" s="238" t="str">
        <f t="shared" ref="K5:K40" si="5">"Case " &amp; A5 &amp; ": c = " &amp; "RAL" &amp; "_" &amp; A5 &amp; "_" &amp; B5</f>
        <v>Case 6001: c = RAL_6001_Smaragdgrün</v>
      </c>
      <c r="L5" s="238" t="str">
        <f t="shared" ref="L5:L40" si="6" xml:space="preserve"> "MColor.CIELab(" &amp; SUBSTITUTE(N5, ",", ".") &amp; ", " &amp; SUBSTITUTE(O5, ",", ".") &amp; ", " &amp; SUBSTITUTE(P5, ",", ".") &amp; ")"</f>
        <v>MColor.CIELab(46, -27, 22)</v>
      </c>
      <c r="M5" s="238" t="str">
        <f t="shared" ref="M5:M40" si="7">"m_Arr(i) = TNamedRALColor(""" &amp; B5 &amp; """, " &amp; A5 &amp; ", RALClassic." &amp; E5 &amp; ", " &amp; L5 &amp; "): " &amp; REPT(" ", (70-LEN(L5))-2*H5) &amp; "i = i + 1"</f>
        <v>m_Arr(i) = TNamedRALColor("Smaragdgrün", 6001, RALClassic.RAL_6001_Smaragdgrün, MColor.CIELab(46, -27, 22)):     i = i + 1</v>
      </c>
      <c r="N5" s="7">
        <v>46</v>
      </c>
      <c r="O5" s="7">
        <v>-27</v>
      </c>
      <c r="P5" s="7">
        <v>22</v>
      </c>
      <c r="Q5" s="5"/>
    </row>
    <row r="6" spans="1:17" ht="15" customHeight="1" x14ac:dyDescent="0.25">
      <c r="A6" s="3">
        <v>6002</v>
      </c>
      <c r="B6" s="8" t="s">
        <v>163</v>
      </c>
      <c r="C6" s="114"/>
      <c r="D6" t="s">
        <v>454</v>
      </c>
      <c r="E6" s="5" t="str">
        <f t="shared" si="0"/>
        <v>RAL_6002_Laubgrün</v>
      </c>
      <c r="F6" s="237" t="s">
        <v>574</v>
      </c>
      <c r="G6" s="5" t="str">
        <f t="shared" si="1"/>
        <v>&amp;H285932&amp;</v>
      </c>
      <c r="H6" s="5">
        <f t="shared" si="2"/>
        <v>17</v>
      </c>
      <c r="I6" s="238" t="str">
        <f t="shared" si="3"/>
        <v>Case RAL_6002_Laubgrün:         s = "Laubgrün"</v>
      </c>
      <c r="J6" s="238" t="str">
        <f t="shared" si="4"/>
        <v>Case RAL_6002_Laubgrün:         n = 6002</v>
      </c>
      <c r="K6" s="238" t="str">
        <f t="shared" si="5"/>
        <v>Case 6002: c = RAL_6002_Laubgrün</v>
      </c>
      <c r="L6" s="238" t="str">
        <f t="shared" si="6"/>
        <v>MColor.CIELab(41, -24, 24)</v>
      </c>
      <c r="M6" s="238" t="str">
        <f t="shared" si="7"/>
        <v>m_Arr(i) = TNamedRALColor("Laubgrün", 6002, RALClassic.RAL_6002_Laubgrün, MColor.CIELab(41, -24, 24)):           i = i + 1</v>
      </c>
      <c r="N6" s="7">
        <v>41</v>
      </c>
      <c r="O6" s="7">
        <v>-24</v>
      </c>
      <c r="P6" s="7">
        <v>24</v>
      </c>
      <c r="Q6" s="5" t="s">
        <v>164</v>
      </c>
    </row>
    <row r="7" spans="1:17" ht="15" customHeight="1" x14ac:dyDescent="0.25">
      <c r="A7" s="3">
        <v>6003</v>
      </c>
      <c r="B7" s="8" t="s">
        <v>165</v>
      </c>
      <c r="C7" s="115"/>
      <c r="D7" t="s">
        <v>455</v>
      </c>
      <c r="E7" s="5" t="str">
        <f t="shared" si="0"/>
        <v>RAL_6003_Olivgrün</v>
      </c>
      <c r="F7" s="237" t="s">
        <v>574</v>
      </c>
      <c r="G7" s="5" t="str">
        <f t="shared" si="1"/>
        <v>&amp;H3C5350&amp;</v>
      </c>
      <c r="H7" s="5">
        <f t="shared" si="2"/>
        <v>17</v>
      </c>
      <c r="I7" s="238" t="str">
        <f t="shared" si="3"/>
        <v>Case RAL_6003_Olivgrün:         s = "Olivgrün"</v>
      </c>
      <c r="J7" s="238" t="str">
        <f t="shared" si="4"/>
        <v>Case RAL_6003_Olivgrün:         n = 6003</v>
      </c>
      <c r="K7" s="238" t="str">
        <f t="shared" si="5"/>
        <v>Case 6003: c = RAL_6003_Olivgrün</v>
      </c>
      <c r="L7" s="238" t="str">
        <f t="shared" si="6"/>
        <v>MColor.CIELab(42, -5, 13)</v>
      </c>
      <c r="M7" s="238" t="str">
        <f t="shared" si="7"/>
        <v>m_Arr(i) = TNamedRALColor("Olivgrün", 6003, RALClassic.RAL_6003_Olivgrün, MColor.CIELab(42, -5, 13)):            i = i + 1</v>
      </c>
      <c r="N7" s="7">
        <v>42</v>
      </c>
      <c r="O7" s="7">
        <v>-5</v>
      </c>
      <c r="P7" s="7">
        <v>13</v>
      </c>
      <c r="Q7" s="5" t="s">
        <v>166</v>
      </c>
    </row>
    <row r="8" spans="1:17" ht="15" customHeight="1" x14ac:dyDescent="0.25">
      <c r="A8" s="3">
        <v>6004</v>
      </c>
      <c r="B8" s="5" t="s">
        <v>167</v>
      </c>
      <c r="C8" s="116"/>
      <c r="D8" t="s">
        <v>456</v>
      </c>
      <c r="E8" s="5" t="str">
        <f t="shared" si="0"/>
        <v>RAL_6004_Blaugrün</v>
      </c>
      <c r="F8" s="237" t="s">
        <v>574</v>
      </c>
      <c r="G8" s="5" t="str">
        <f t="shared" si="1"/>
        <v>&amp;H424402&amp;</v>
      </c>
      <c r="H8" s="5">
        <f t="shared" si="2"/>
        <v>17</v>
      </c>
      <c r="I8" s="238" t="str">
        <f t="shared" si="3"/>
        <v>Case RAL_6004_Blaugrün:         s = "Blaugrün"</v>
      </c>
      <c r="J8" s="238" t="str">
        <f t="shared" si="4"/>
        <v>Case RAL_6004_Blaugrün:         n = 6004</v>
      </c>
      <c r="K8" s="238" t="str">
        <f t="shared" si="5"/>
        <v>Case 6004: c = RAL_6004_Blaugrün</v>
      </c>
      <c r="L8" s="238" t="str">
        <f t="shared" si="6"/>
        <v>MColor.CIELab(32, -24, -6)</v>
      </c>
      <c r="M8" s="238" t="str">
        <f t="shared" si="7"/>
        <v>m_Arr(i) = TNamedRALColor("Blaugrün", 6004, RALClassic.RAL_6004_Blaugrün, MColor.CIELab(32, -24, -6)):           i = i + 1</v>
      </c>
      <c r="N8" s="7">
        <v>32</v>
      </c>
      <c r="O8" s="7">
        <v>-24</v>
      </c>
      <c r="P8" s="7">
        <v>-6</v>
      </c>
      <c r="Q8" s="8" t="s">
        <v>168</v>
      </c>
    </row>
    <row r="9" spans="1:17" ht="15" customHeight="1" x14ac:dyDescent="0.25">
      <c r="A9" s="3">
        <v>6005</v>
      </c>
      <c r="B9" s="5" t="s">
        <v>169</v>
      </c>
      <c r="C9" s="117"/>
      <c r="D9" t="s">
        <v>457</v>
      </c>
      <c r="E9" s="5" t="str">
        <f t="shared" si="0"/>
        <v>RAL_6005_Moosgrün</v>
      </c>
      <c r="F9" s="237" t="s">
        <v>574</v>
      </c>
      <c r="G9" s="5" t="str">
        <f t="shared" si="1"/>
        <v>&amp;H324211&amp;</v>
      </c>
      <c r="H9" s="5">
        <f t="shared" si="2"/>
        <v>17</v>
      </c>
      <c r="I9" s="238" t="str">
        <f t="shared" si="3"/>
        <v>Case RAL_6005_Moosgrün:         s = "Moosgrün"</v>
      </c>
      <c r="J9" s="238" t="str">
        <f t="shared" si="4"/>
        <v>Case RAL_6005_Moosgrün:         n = 6005</v>
      </c>
      <c r="K9" s="238" t="str">
        <f t="shared" si="5"/>
        <v>Case 6005: c = RAL_6005_Moosgrün</v>
      </c>
      <c r="L9" s="238" t="str">
        <f t="shared" si="6"/>
        <v>MColor.CIELab(31, -25, 4)</v>
      </c>
      <c r="M9" s="238" t="str">
        <f t="shared" si="7"/>
        <v>m_Arr(i) = TNamedRALColor("Moosgrün", 6005, RALClassic.RAL_6005_Moosgrün, MColor.CIELab(31, -25, 4)):            i = i + 1</v>
      </c>
      <c r="N9" s="7">
        <v>31</v>
      </c>
      <c r="O9" s="7">
        <v>-25</v>
      </c>
      <c r="P9" s="7">
        <v>4</v>
      </c>
      <c r="Q9" s="8" t="s">
        <v>170</v>
      </c>
    </row>
    <row r="10" spans="1:17" ht="15" customHeight="1" x14ac:dyDescent="0.25">
      <c r="A10" s="3">
        <v>6006</v>
      </c>
      <c r="B10" s="5" t="s">
        <v>171</v>
      </c>
      <c r="C10" s="118"/>
      <c r="D10" t="s">
        <v>458</v>
      </c>
      <c r="E10" s="5" t="str">
        <f t="shared" si="0"/>
        <v>RAL_6006_Grauoliv</v>
      </c>
      <c r="F10" s="237" t="s">
        <v>574</v>
      </c>
      <c r="G10" s="5" t="str">
        <f t="shared" si="1"/>
        <v>&amp;H2E393C&amp;</v>
      </c>
      <c r="H10" s="5">
        <f t="shared" si="2"/>
        <v>17</v>
      </c>
      <c r="I10" s="238" t="str">
        <f t="shared" si="3"/>
        <v>Case RAL_6006_Grauoliv:         s = "Grauoliv"</v>
      </c>
      <c r="J10" s="238" t="str">
        <f t="shared" si="4"/>
        <v>Case RAL_6006_Grauoliv:         n = 6006</v>
      </c>
      <c r="K10" s="238" t="str">
        <f t="shared" si="5"/>
        <v>Case 6006: c = RAL_6006_Grauoliv</v>
      </c>
      <c r="L10" s="238" t="str">
        <f t="shared" si="6"/>
        <v>MColor.CIELab(31, 0, 8)</v>
      </c>
      <c r="M10" s="238" t="str">
        <f t="shared" si="7"/>
        <v>m_Arr(i) = TNamedRALColor("Grauoliv", 6006, RALClassic.RAL_6006_Grauoliv, MColor.CIELab(31, 0, 8)):              i = i + 1</v>
      </c>
      <c r="N10" s="7">
        <v>31</v>
      </c>
      <c r="O10" s="7">
        <v>0</v>
      </c>
      <c r="P10" s="7">
        <v>8</v>
      </c>
      <c r="Q10" s="8" t="s">
        <v>172</v>
      </c>
    </row>
    <row r="11" spans="1:17" ht="15" customHeight="1" x14ac:dyDescent="0.25">
      <c r="A11" s="3">
        <v>6007</v>
      </c>
      <c r="B11" s="5" t="s">
        <v>173</v>
      </c>
      <c r="C11" s="119"/>
      <c r="D11" t="s">
        <v>459</v>
      </c>
      <c r="E11" s="5" t="str">
        <f t="shared" si="0"/>
        <v>RAL_6007_Flaschengrün</v>
      </c>
      <c r="F11" s="237" t="s">
        <v>574</v>
      </c>
      <c r="G11" s="5" t="str">
        <f t="shared" si="1"/>
        <v>&amp;H22322C&amp;</v>
      </c>
      <c r="H11" s="5">
        <f t="shared" si="2"/>
        <v>21</v>
      </c>
      <c r="I11" s="238" t="str">
        <f t="shared" si="3"/>
        <v>Case RAL_6007_Flaschengrün:     s = "Flaschengrün"</v>
      </c>
      <c r="J11" s="238" t="str">
        <f t="shared" si="4"/>
        <v>Case RAL_6007_Flaschengrün:     n = 6007</v>
      </c>
      <c r="K11" s="238" t="str">
        <f t="shared" si="5"/>
        <v>Case 6007: c = RAL_6007_Flaschengrün</v>
      </c>
      <c r="L11" s="238" t="str">
        <f t="shared" si="6"/>
        <v>MColor.CIELab(26, -6, 11)</v>
      </c>
      <c r="M11" s="238" t="str">
        <f t="shared" si="7"/>
        <v>m_Arr(i) = TNamedRALColor("Flaschengrün", 6007, RALClassic.RAL_6007_Flaschengrün, MColor.CIELab(26, -6, 11)):    i = i + 1</v>
      </c>
      <c r="N11" s="7">
        <v>26</v>
      </c>
      <c r="O11" s="7">
        <v>-6</v>
      </c>
      <c r="P11" s="7">
        <v>11</v>
      </c>
      <c r="Q11" s="8" t="s">
        <v>174</v>
      </c>
    </row>
    <row r="12" spans="1:17" ht="15" customHeight="1" x14ac:dyDescent="0.25">
      <c r="A12" s="3">
        <v>6008</v>
      </c>
      <c r="B12" s="5" t="s">
        <v>175</v>
      </c>
      <c r="C12" s="120"/>
      <c r="D12" t="s">
        <v>460</v>
      </c>
      <c r="E12" s="5" t="str">
        <f t="shared" si="0"/>
        <v>RAL_6008_Braungrün</v>
      </c>
      <c r="F12" s="237" t="s">
        <v>574</v>
      </c>
      <c r="G12" s="5" t="str">
        <f t="shared" si="1"/>
        <v>&amp;H2A3437&amp;</v>
      </c>
      <c r="H12" s="5">
        <f t="shared" si="2"/>
        <v>18</v>
      </c>
      <c r="I12" s="238" t="str">
        <f t="shared" si="3"/>
        <v>Case RAL_6008_Braungrün:        s = "Braungrün"</v>
      </c>
      <c r="J12" s="238" t="str">
        <f t="shared" si="4"/>
        <v>Case RAL_6008_Braungrün:        n = 6008</v>
      </c>
      <c r="K12" s="238" t="str">
        <f t="shared" si="5"/>
        <v>Case 6008: c = RAL_6008_Braungrün</v>
      </c>
      <c r="L12" s="238" t="str">
        <f t="shared" si="6"/>
        <v>MColor.CIELab(29, 0, 8)</v>
      </c>
      <c r="M12" s="238" t="str">
        <f t="shared" si="7"/>
        <v>m_Arr(i) = TNamedRALColor("Braungrün", 6008, RALClassic.RAL_6008_Braungrün, MColor.CIELab(29, 0, 8)):            i = i + 1</v>
      </c>
      <c r="N12" s="7">
        <v>29</v>
      </c>
      <c r="O12" s="7">
        <v>0</v>
      </c>
      <c r="P12" s="7">
        <v>8</v>
      </c>
      <c r="Q12" s="5"/>
    </row>
    <row r="13" spans="1:17" ht="15" customHeight="1" x14ac:dyDescent="0.25">
      <c r="A13" s="3">
        <v>6009</v>
      </c>
      <c r="B13" s="8" t="s">
        <v>176</v>
      </c>
      <c r="C13" s="121"/>
      <c r="D13" t="s">
        <v>461</v>
      </c>
      <c r="E13" s="5" t="str">
        <f t="shared" si="0"/>
        <v>RAL_6009_Tannengrün</v>
      </c>
      <c r="F13" s="237" t="s">
        <v>574</v>
      </c>
      <c r="G13" s="5" t="str">
        <f t="shared" si="1"/>
        <v>&amp;H2A3527&amp;</v>
      </c>
      <c r="H13" s="5">
        <f t="shared" si="2"/>
        <v>19</v>
      </c>
      <c r="I13" s="238" t="str">
        <f t="shared" si="3"/>
        <v>Case RAL_6009_Tannengrün:       s = "Tannengrün"</v>
      </c>
      <c r="J13" s="238" t="str">
        <f t="shared" si="4"/>
        <v>Case RAL_6009_Tannengrün:       n = 6009</v>
      </c>
      <c r="K13" s="238" t="str">
        <f t="shared" si="5"/>
        <v>Case 6009: c = RAL_6009_Tannengrün</v>
      </c>
      <c r="L13" s="238" t="str">
        <f t="shared" si="6"/>
        <v>MColor.CIELab(27, -9, 5)</v>
      </c>
      <c r="M13" s="238" t="str">
        <f t="shared" si="7"/>
        <v>m_Arr(i) = TNamedRALColor("Tannengrün", 6009, RALClassic.RAL_6009_Tannengrün, MColor.CIELab(27, -9, 5)):         i = i + 1</v>
      </c>
      <c r="N13" s="7">
        <v>27</v>
      </c>
      <c r="O13" s="7">
        <v>-9</v>
      </c>
      <c r="P13" s="7">
        <v>5</v>
      </c>
      <c r="Q13" s="8" t="s">
        <v>177</v>
      </c>
    </row>
    <row r="14" spans="1:17" ht="15" customHeight="1" x14ac:dyDescent="0.25">
      <c r="A14" s="3">
        <v>6010</v>
      </c>
      <c r="B14" s="5" t="s">
        <v>178</v>
      </c>
      <c r="C14" s="122"/>
      <c r="D14" t="s">
        <v>462</v>
      </c>
      <c r="E14" s="5" t="str">
        <f t="shared" si="0"/>
        <v>RAL_6010_Grasgrün</v>
      </c>
      <c r="F14" s="237" t="s">
        <v>574</v>
      </c>
      <c r="G14" s="5" t="str">
        <f t="shared" si="1"/>
        <v>&amp;H396F4D&amp;</v>
      </c>
      <c r="H14" s="5">
        <f t="shared" si="2"/>
        <v>17</v>
      </c>
      <c r="I14" s="238" t="str">
        <f t="shared" si="3"/>
        <v>Case RAL_6010_Grasgrün:         s = "Grasgrün"</v>
      </c>
      <c r="J14" s="238" t="str">
        <f t="shared" si="4"/>
        <v>Case RAL_6010_Grasgrün:         n = 6010</v>
      </c>
      <c r="K14" s="238" t="str">
        <f t="shared" si="5"/>
        <v>Case 6010: c = RAL_6010_Grasgrün</v>
      </c>
      <c r="L14" s="238" t="str">
        <f t="shared" si="6"/>
        <v>MColor.CIELab(50, -21, 25)</v>
      </c>
      <c r="M14" s="238" t="str">
        <f t="shared" si="7"/>
        <v>m_Arr(i) = TNamedRALColor("Grasgrün", 6010, RALClassic.RAL_6010_Grasgrün, MColor.CIELab(50, -21, 25)):           i = i + 1</v>
      </c>
      <c r="N14" s="7">
        <v>50</v>
      </c>
      <c r="O14" s="7">
        <v>-21</v>
      </c>
      <c r="P14" s="7">
        <v>25</v>
      </c>
      <c r="Q14" s="5"/>
    </row>
    <row r="15" spans="1:17" ht="15" customHeight="1" x14ac:dyDescent="0.25">
      <c r="A15" s="3">
        <v>6011</v>
      </c>
      <c r="B15" s="8" t="s">
        <v>179</v>
      </c>
      <c r="C15" s="123"/>
      <c r="D15" t="s">
        <v>463</v>
      </c>
      <c r="E15" s="5" t="str">
        <f t="shared" si="0"/>
        <v>RAL_6011_Resedagrün</v>
      </c>
      <c r="F15" s="237" t="s">
        <v>574</v>
      </c>
      <c r="G15" s="5" t="str">
        <f t="shared" si="1"/>
        <v>&amp;H597C6C&amp;</v>
      </c>
      <c r="H15" s="5">
        <f t="shared" si="2"/>
        <v>19</v>
      </c>
      <c r="I15" s="238" t="str">
        <f t="shared" si="3"/>
        <v>Case RAL_6011_Resedagrün:       s = "Resedagrün"</v>
      </c>
      <c r="J15" s="238" t="str">
        <f t="shared" si="4"/>
        <v>Case RAL_6011_Resedagrün:       n = 6011</v>
      </c>
      <c r="K15" s="238" t="str">
        <f t="shared" si="5"/>
        <v>Case 6011: c = RAL_6011_Resedagrün</v>
      </c>
      <c r="L15" s="238" t="str">
        <f t="shared" si="6"/>
        <v>MColor.CIELab(57, -11, 16)</v>
      </c>
      <c r="M15" s="238" t="str">
        <f t="shared" si="7"/>
        <v>m_Arr(i) = TNamedRALColor("Resedagrün", 6011, RALClassic.RAL_6011_Resedagrün, MColor.CIELab(57, -11, 16)):       i = i + 1</v>
      </c>
      <c r="N15" s="7">
        <v>57</v>
      </c>
      <c r="O15" s="7">
        <v>-11</v>
      </c>
      <c r="P15" s="7">
        <v>16</v>
      </c>
      <c r="Q15" s="5" t="s">
        <v>180</v>
      </c>
    </row>
    <row r="16" spans="1:17" ht="15" customHeight="1" x14ac:dyDescent="0.25">
      <c r="A16" s="3">
        <v>6012</v>
      </c>
      <c r="B16" s="5" t="s">
        <v>181</v>
      </c>
      <c r="C16" s="124"/>
      <c r="D16" t="s">
        <v>464</v>
      </c>
      <c r="E16" s="5" t="str">
        <f t="shared" si="0"/>
        <v>RAL_6012_Schwarzgrün</v>
      </c>
      <c r="F16" s="237" t="s">
        <v>574</v>
      </c>
      <c r="G16" s="5" t="str">
        <f t="shared" si="1"/>
        <v>&amp;H3A3D30&amp;</v>
      </c>
      <c r="H16" s="5">
        <f t="shared" si="2"/>
        <v>20</v>
      </c>
      <c r="I16" s="238" t="str">
        <f t="shared" si="3"/>
        <v>Case RAL_6012_Schwarzgrün:      s = "Schwarzgrün"</v>
      </c>
      <c r="J16" s="238" t="str">
        <f t="shared" si="4"/>
        <v>Case RAL_6012_Schwarzgrün:      n = 6012</v>
      </c>
      <c r="K16" s="238" t="str">
        <f t="shared" si="5"/>
        <v>Case 6012: c = RAL_6012_Schwarzgrün</v>
      </c>
      <c r="L16" s="238" t="str">
        <f t="shared" si="6"/>
        <v>MColor.CIELab(32, -7, 0)</v>
      </c>
      <c r="M16" s="238" t="str">
        <f t="shared" si="7"/>
        <v>m_Arr(i) = TNamedRALColor("Schwarzgrün", 6012, RALClassic.RAL_6012_Schwarzgrün, MColor.CIELab(32, -7, 0)):       i = i + 1</v>
      </c>
      <c r="N16" s="7">
        <v>32</v>
      </c>
      <c r="O16" s="7">
        <v>-7</v>
      </c>
      <c r="P16" s="7">
        <v>0</v>
      </c>
      <c r="Q16" s="8" t="s">
        <v>182</v>
      </c>
    </row>
    <row r="17" spans="1:17" ht="15" customHeight="1" x14ac:dyDescent="0.25">
      <c r="A17" s="3">
        <v>6013</v>
      </c>
      <c r="B17" s="5" t="s">
        <v>183</v>
      </c>
      <c r="C17" s="125"/>
      <c r="D17" t="s">
        <v>465</v>
      </c>
      <c r="E17" s="5" t="str">
        <f t="shared" si="0"/>
        <v>RAL_6013_Schilfgrün</v>
      </c>
      <c r="F17" s="237" t="s">
        <v>574</v>
      </c>
      <c r="G17" s="5" t="str">
        <f t="shared" si="1"/>
        <v>&amp;H5A767D&amp;</v>
      </c>
      <c r="H17" s="5">
        <f t="shared" si="2"/>
        <v>19</v>
      </c>
      <c r="I17" s="238" t="str">
        <f t="shared" si="3"/>
        <v>Case RAL_6013_Schilfgrün:       s = "Schilfgrün"</v>
      </c>
      <c r="J17" s="238" t="str">
        <f t="shared" si="4"/>
        <v>Case RAL_6013_Schilfgrün:       n = 6013</v>
      </c>
      <c r="K17" s="238" t="str">
        <f t="shared" si="5"/>
        <v>Case 6013: c = RAL_6013_Schilfgrün</v>
      </c>
      <c r="L17" s="238" t="str">
        <f t="shared" si="6"/>
        <v>MColor.CIELab(57, -1, 15)</v>
      </c>
      <c r="M17" s="238" t="str">
        <f t="shared" si="7"/>
        <v>m_Arr(i) = TNamedRALColor("Schilfgrün", 6013, RALClassic.RAL_6013_Schilfgrün, MColor.CIELab(57, -1, 15)):        i = i + 1</v>
      </c>
      <c r="N17" s="7">
        <v>57</v>
      </c>
      <c r="O17" s="7">
        <v>-1</v>
      </c>
      <c r="P17" s="7">
        <v>15</v>
      </c>
      <c r="Q17" s="5"/>
    </row>
    <row r="18" spans="1:17" ht="15" customHeight="1" x14ac:dyDescent="0.25">
      <c r="A18" s="3">
        <v>6014</v>
      </c>
      <c r="B18" s="5" t="s">
        <v>184</v>
      </c>
      <c r="C18" s="126"/>
      <c r="D18" t="s">
        <v>466</v>
      </c>
      <c r="E18" s="5" t="str">
        <f t="shared" si="0"/>
        <v>RAL_6014_Gelboliv</v>
      </c>
      <c r="F18" s="237" t="s">
        <v>574</v>
      </c>
      <c r="G18" s="5" t="str">
        <f t="shared" si="1"/>
        <v>&amp;H354147&amp;</v>
      </c>
      <c r="H18" s="5">
        <f t="shared" si="2"/>
        <v>17</v>
      </c>
      <c r="I18" s="238" t="str">
        <f t="shared" si="3"/>
        <v>Case RAL_6014_Gelboliv:         s = "Gelboliv"</v>
      </c>
      <c r="J18" s="238" t="str">
        <f t="shared" si="4"/>
        <v>Case RAL_6014_Gelboliv:         n = 6014</v>
      </c>
      <c r="K18" s="238" t="str">
        <f t="shared" si="5"/>
        <v>Case 6014: c = RAL_6014_Gelboliv</v>
      </c>
      <c r="L18" s="238" t="str">
        <f t="shared" si="6"/>
        <v>MColor.CIELab(35, 1, 9)</v>
      </c>
      <c r="M18" s="238" t="str">
        <f t="shared" si="7"/>
        <v>m_Arr(i) = TNamedRALColor("Gelboliv", 6014, RALClassic.RAL_6014_Gelboliv, MColor.CIELab(35, 1, 9)):              i = i + 1</v>
      </c>
      <c r="N18" s="7">
        <v>35</v>
      </c>
      <c r="O18" s="7">
        <v>1</v>
      </c>
      <c r="P18" s="7">
        <v>9</v>
      </c>
      <c r="Q18" s="5" t="s">
        <v>185</v>
      </c>
    </row>
    <row r="19" spans="1:17" ht="15" customHeight="1" x14ac:dyDescent="0.25">
      <c r="A19" s="3">
        <v>6015</v>
      </c>
      <c r="B19" s="5" t="s">
        <v>186</v>
      </c>
      <c r="C19" s="127"/>
      <c r="D19" t="s">
        <v>467</v>
      </c>
      <c r="E19" s="5" t="str">
        <f t="shared" si="0"/>
        <v>RAL_6015_Schwarzoliv</v>
      </c>
      <c r="F19" s="237" t="s">
        <v>574</v>
      </c>
      <c r="G19" s="5" t="str">
        <f t="shared" si="1"/>
        <v>&amp;H363D3D&amp;</v>
      </c>
      <c r="H19" s="5">
        <f t="shared" si="2"/>
        <v>20</v>
      </c>
      <c r="I19" s="238" t="str">
        <f t="shared" si="3"/>
        <v>Case RAL_6015_Schwarzoliv:      s = "Schwarzoliv"</v>
      </c>
      <c r="J19" s="238" t="str">
        <f t="shared" si="4"/>
        <v>Case RAL_6015_Schwarzoliv:      n = 6015</v>
      </c>
      <c r="K19" s="238" t="str">
        <f t="shared" si="5"/>
        <v>Case 6015: c = RAL_6015_Schwarzoliv</v>
      </c>
      <c r="L19" s="238" t="str">
        <f t="shared" si="6"/>
        <v>MColor.CIELab(33, -1, 5)</v>
      </c>
      <c r="M19" s="238" t="str">
        <f t="shared" si="7"/>
        <v>m_Arr(i) = TNamedRALColor("Schwarzoliv", 6015, RALClassic.RAL_6015_Schwarzoliv, MColor.CIELab(33, -1, 5)):       i = i + 1</v>
      </c>
      <c r="N19" s="7">
        <v>33</v>
      </c>
      <c r="O19" s="7">
        <v>-1</v>
      </c>
      <c r="P19" s="7">
        <v>5</v>
      </c>
      <c r="Q19" s="5"/>
    </row>
    <row r="20" spans="1:17" ht="15" customHeight="1" x14ac:dyDescent="0.25">
      <c r="A20" s="3">
        <v>6016</v>
      </c>
      <c r="B20" s="5" t="s">
        <v>187</v>
      </c>
      <c r="C20" s="128"/>
      <c r="D20" t="s">
        <v>468</v>
      </c>
      <c r="E20" s="5" t="str">
        <f t="shared" si="0"/>
        <v>RAL_6016_Türkisgrün</v>
      </c>
      <c r="F20" s="237" t="s">
        <v>574</v>
      </c>
      <c r="G20" s="5" t="str">
        <f t="shared" si="1"/>
        <v>&amp;H4C6900&amp;</v>
      </c>
      <c r="H20" s="5">
        <f t="shared" si="2"/>
        <v>19</v>
      </c>
      <c r="I20" s="238" t="str">
        <f t="shared" si="3"/>
        <v>Case RAL_6016_Türkisgrün:       s = "Türkisgrün"</v>
      </c>
      <c r="J20" s="238" t="str">
        <f t="shared" si="4"/>
        <v>Case RAL_6016_Türkisgrün:       n = 6016</v>
      </c>
      <c r="K20" s="238" t="str">
        <f t="shared" si="5"/>
        <v>Case 6016: c = RAL_6016_Türkisgrün</v>
      </c>
      <c r="L20" s="238" t="str">
        <f t="shared" si="6"/>
        <v>MColor.CIELab(45, -37, 6)</v>
      </c>
      <c r="M20" s="238" t="str">
        <f t="shared" si="7"/>
        <v>m_Arr(i) = TNamedRALColor("Türkisgrün", 6016, RALClassic.RAL_6016_Türkisgrün, MColor.CIELab(45, -37, 6)):        i = i + 1</v>
      </c>
      <c r="N20" s="7">
        <v>45</v>
      </c>
      <c r="O20" s="7">
        <v>-37</v>
      </c>
      <c r="P20" s="7">
        <v>6</v>
      </c>
      <c r="Q20" s="5"/>
    </row>
    <row r="21" spans="1:17" ht="15" customHeight="1" x14ac:dyDescent="0.25">
      <c r="A21" s="3">
        <v>6017</v>
      </c>
      <c r="B21" s="8" t="s">
        <v>188</v>
      </c>
      <c r="C21" s="129"/>
      <c r="D21" t="s">
        <v>469</v>
      </c>
      <c r="E21" s="5" t="str">
        <f t="shared" si="0"/>
        <v>RAL_6017_Maigrün</v>
      </c>
      <c r="F21" s="237" t="s">
        <v>574</v>
      </c>
      <c r="G21" s="5" t="str">
        <f t="shared" si="1"/>
        <v>&amp;H407F58&amp;</v>
      </c>
      <c r="H21" s="5">
        <f t="shared" si="2"/>
        <v>16</v>
      </c>
      <c r="I21" s="238" t="str">
        <f t="shared" si="3"/>
        <v>Case RAL_6017_Maigrün:          s = "Maigrün"</v>
      </c>
      <c r="J21" s="238" t="str">
        <f t="shared" si="4"/>
        <v>Case RAL_6017_Maigrün:          n = 6017</v>
      </c>
      <c r="K21" s="238" t="str">
        <f t="shared" si="5"/>
        <v>Case 6017: c = RAL_6017_Maigrün</v>
      </c>
      <c r="L21" s="238" t="str">
        <f t="shared" si="6"/>
        <v>MColor.CIELab(56, -23, 28)</v>
      </c>
      <c r="M21" s="238" t="str">
        <f t="shared" si="7"/>
        <v>m_Arr(i) = TNamedRALColor("Maigrün", 6017, RALClassic.RAL_6017_Maigrün, MColor.CIELab(56, -23, 28)):             i = i + 1</v>
      </c>
      <c r="N21" s="7">
        <v>56</v>
      </c>
      <c r="O21" s="7">
        <v>-23</v>
      </c>
      <c r="P21" s="7">
        <v>28</v>
      </c>
      <c r="Q21" s="8" t="s">
        <v>189</v>
      </c>
    </row>
    <row r="22" spans="1:17" ht="15" customHeight="1" x14ac:dyDescent="0.25">
      <c r="A22" s="3">
        <v>6018</v>
      </c>
      <c r="B22" s="8" t="s">
        <v>190</v>
      </c>
      <c r="C22" s="130"/>
      <c r="D22" t="s">
        <v>470</v>
      </c>
      <c r="E22" s="5" t="str">
        <f t="shared" si="0"/>
        <v>RAL_6018_Gelbgrün</v>
      </c>
      <c r="F22" s="237" t="s">
        <v>574</v>
      </c>
      <c r="G22" s="5" t="str">
        <f t="shared" si="1"/>
        <v>&amp;H3B9961&amp;</v>
      </c>
      <c r="H22" s="5">
        <f t="shared" si="2"/>
        <v>17</v>
      </c>
      <c r="I22" s="238" t="str">
        <f t="shared" si="3"/>
        <v>Case RAL_6018_Gelbgrün:         s = "Gelbgrün"</v>
      </c>
      <c r="J22" s="238" t="str">
        <f t="shared" si="4"/>
        <v>Case RAL_6018_Gelbgrün:         n = 6018</v>
      </c>
      <c r="K22" s="238" t="str">
        <f t="shared" si="5"/>
        <v>Case 6018: c = RAL_6018_Gelbgrün</v>
      </c>
      <c r="L22" s="238" t="str">
        <f t="shared" si="6"/>
        <v>MColor.CIELab(63, -31, 39)</v>
      </c>
      <c r="M22" s="238" t="str">
        <f t="shared" si="7"/>
        <v>m_Arr(i) = TNamedRALColor("Gelbgrün", 6018, RALClassic.RAL_6018_Gelbgrün, MColor.CIELab(63, -31, 39)):           i = i + 1</v>
      </c>
      <c r="N22" s="7">
        <v>63</v>
      </c>
      <c r="O22" s="7">
        <v>-31</v>
      </c>
      <c r="P22" s="7">
        <v>39</v>
      </c>
      <c r="Q22" s="5"/>
    </row>
    <row r="23" spans="1:17" ht="15" customHeight="1" x14ac:dyDescent="0.25">
      <c r="A23" s="3">
        <v>6019</v>
      </c>
      <c r="B23" s="5" t="s">
        <v>191</v>
      </c>
      <c r="C23" s="131"/>
      <c r="D23" t="s">
        <v>471</v>
      </c>
      <c r="E23" s="5" t="str">
        <f t="shared" si="0"/>
        <v>RAL_6019_Weißgrün</v>
      </c>
      <c r="F23" s="237" t="s">
        <v>574</v>
      </c>
      <c r="G23" s="5" t="str">
        <f t="shared" si="1"/>
        <v>&amp;HACCEB9&amp;</v>
      </c>
      <c r="H23" s="5">
        <f t="shared" si="2"/>
        <v>17</v>
      </c>
      <c r="I23" s="238" t="str">
        <f t="shared" si="3"/>
        <v>Case RAL_6019_Weißgrün:         s = "Weißgrün"</v>
      </c>
      <c r="J23" s="238" t="str">
        <f t="shared" si="4"/>
        <v>Case RAL_6019_Weißgrün:         n = 6019</v>
      </c>
      <c r="K23" s="238" t="str">
        <f t="shared" si="5"/>
        <v>Case 6019: c = RAL_6019_Weißgrün</v>
      </c>
      <c r="L23" s="238" t="str">
        <f t="shared" si="6"/>
        <v>MColor.CIELab(84, -10, 12)</v>
      </c>
      <c r="M23" s="238" t="str">
        <f t="shared" si="7"/>
        <v>m_Arr(i) = TNamedRALColor("Weißgrün", 6019, RALClassic.RAL_6019_Weißgrün, MColor.CIELab(84, -10, 12)):           i = i + 1</v>
      </c>
      <c r="N23" s="7">
        <v>84</v>
      </c>
      <c r="O23" s="7">
        <v>-10</v>
      </c>
      <c r="P23" s="7">
        <v>12</v>
      </c>
      <c r="Q23" s="5"/>
    </row>
    <row r="24" spans="1:17" ht="15" customHeight="1" x14ac:dyDescent="0.25">
      <c r="A24" s="3">
        <v>6020</v>
      </c>
      <c r="B24" s="8" t="s">
        <v>192</v>
      </c>
      <c r="C24" s="132"/>
      <c r="D24" t="s">
        <v>472</v>
      </c>
      <c r="E24" s="5" t="str">
        <f t="shared" si="0"/>
        <v>RAL_6020_Chromoxidgrün</v>
      </c>
      <c r="F24" s="237" t="s">
        <v>574</v>
      </c>
      <c r="G24" s="5" t="str">
        <f t="shared" si="1"/>
        <v>&amp;H2F4237&amp;</v>
      </c>
      <c r="H24" s="5">
        <f t="shared" si="2"/>
        <v>22</v>
      </c>
      <c r="I24" s="238" t="str">
        <f t="shared" si="3"/>
        <v>Case RAL_6020_Chromoxidgrün:    s = "Chromoxidgrün"</v>
      </c>
      <c r="J24" s="238" t="str">
        <f t="shared" si="4"/>
        <v>Case RAL_6020_Chromoxidgrün:    n = 6020</v>
      </c>
      <c r="K24" s="238" t="str">
        <f t="shared" si="5"/>
        <v>Case 6020: c = RAL_6020_Chromoxidgrün</v>
      </c>
      <c r="L24" s="238" t="str">
        <f t="shared" si="6"/>
        <v>MColor.CIELab(34, -9, 11)</v>
      </c>
      <c r="M24" s="238" t="str">
        <f t="shared" si="7"/>
        <v>m_Arr(i) = TNamedRALColor("Chromoxidgrün", 6020, RALClassic.RAL_6020_Chromoxidgrün, MColor.CIELab(34, -9, 11)):  i = i + 1</v>
      </c>
      <c r="N24" s="7">
        <v>34</v>
      </c>
      <c r="O24" s="7">
        <v>-9</v>
      </c>
      <c r="P24" s="7">
        <v>11</v>
      </c>
      <c r="Q24" s="5"/>
    </row>
    <row r="25" spans="1:17" ht="15" customHeight="1" x14ac:dyDescent="0.25">
      <c r="A25" s="3">
        <v>6021</v>
      </c>
      <c r="B25" s="8" t="s">
        <v>193</v>
      </c>
      <c r="C25" s="133"/>
      <c r="D25" t="s">
        <v>473</v>
      </c>
      <c r="E25" s="5" t="str">
        <f t="shared" si="0"/>
        <v>RAL_6021_Blassgrün</v>
      </c>
      <c r="F25" s="237" t="s">
        <v>574</v>
      </c>
      <c r="G25" s="5" t="str">
        <f t="shared" si="1"/>
        <v>&amp;H77998A&amp;</v>
      </c>
      <c r="H25" s="5">
        <f t="shared" si="2"/>
        <v>18</v>
      </c>
      <c r="I25" s="238" t="str">
        <f t="shared" si="3"/>
        <v>Case RAL_6021_Blassgrün:        s = "Blassgrün"</v>
      </c>
      <c r="J25" s="238" t="str">
        <f t="shared" si="4"/>
        <v>Case RAL_6021_Blassgrün:        n = 6021</v>
      </c>
      <c r="K25" s="238" t="str">
        <f t="shared" si="5"/>
        <v>Case 6021: c = RAL_6021_Blassgrün</v>
      </c>
      <c r="L25" s="238" t="str">
        <f t="shared" si="6"/>
        <v>MColor.CIELab(67, -9, 14)</v>
      </c>
      <c r="M25" s="238" t="str">
        <f t="shared" si="7"/>
        <v>m_Arr(i) = TNamedRALColor("Blassgrün", 6021, RALClassic.RAL_6021_Blassgrün, MColor.CIELab(67, -9, 14)):          i = i + 1</v>
      </c>
      <c r="N25" s="7">
        <v>67</v>
      </c>
      <c r="O25" s="7">
        <v>-9</v>
      </c>
      <c r="P25" s="7">
        <v>14</v>
      </c>
      <c r="Q25" s="5"/>
    </row>
    <row r="26" spans="1:17" ht="15" customHeight="1" x14ac:dyDescent="0.25">
      <c r="A26" s="3">
        <v>6022</v>
      </c>
      <c r="B26" s="5" t="s">
        <v>194</v>
      </c>
      <c r="C26" s="134"/>
      <c r="D26" t="s">
        <v>474</v>
      </c>
      <c r="E26" s="5" t="str">
        <f t="shared" si="0"/>
        <v>RAL_6022_Braunoliv</v>
      </c>
      <c r="F26" s="237" t="s">
        <v>574</v>
      </c>
      <c r="G26" s="5" t="str">
        <f t="shared" si="1"/>
        <v>&amp;H27333A&amp;</v>
      </c>
      <c r="H26" s="5">
        <f t="shared" si="2"/>
        <v>18</v>
      </c>
      <c r="I26" s="238" t="str">
        <f t="shared" si="3"/>
        <v>Case RAL_6022_Braunoliv:        s = "Braunoliv"</v>
      </c>
      <c r="J26" s="238" t="str">
        <f t="shared" si="4"/>
        <v>Case RAL_6022_Braunoliv:        n = 6022</v>
      </c>
      <c r="K26" s="238" t="str">
        <f t="shared" si="5"/>
        <v>Case 6022: c = RAL_6022_Braunoliv</v>
      </c>
      <c r="L26" s="238" t="str">
        <f t="shared" si="6"/>
        <v>MColor.CIELab(29, 2, 10)</v>
      </c>
      <c r="M26" s="238" t="str">
        <f t="shared" si="7"/>
        <v>m_Arr(i) = TNamedRALColor("Braunoliv", 6022, RALClassic.RAL_6022_Braunoliv, MColor.CIELab(29, 2, 10)):           i = i + 1</v>
      </c>
      <c r="N26" s="7">
        <v>29</v>
      </c>
      <c r="O26" s="7">
        <v>2</v>
      </c>
      <c r="P26" s="7">
        <v>10</v>
      </c>
      <c r="Q26" s="5"/>
    </row>
    <row r="27" spans="1:17" ht="15" customHeight="1" x14ac:dyDescent="0.25">
      <c r="A27" s="3">
        <v>6024</v>
      </c>
      <c r="B27" s="5" t="s">
        <v>195</v>
      </c>
      <c r="C27" s="135"/>
      <c r="D27" t="s">
        <v>475</v>
      </c>
      <c r="E27" s="5" t="str">
        <f t="shared" si="0"/>
        <v>RAL_6024_Verkehrsgrün</v>
      </c>
      <c r="F27" s="237" t="s">
        <v>574</v>
      </c>
      <c r="G27" s="5" t="str">
        <f t="shared" si="1"/>
        <v>&amp;H518300&amp;</v>
      </c>
      <c r="H27" s="5">
        <f t="shared" si="2"/>
        <v>21</v>
      </c>
      <c r="I27" s="238" t="str">
        <f t="shared" si="3"/>
        <v>Case RAL_6024_Verkehrsgrün:     s = "Verkehrsgrün"</v>
      </c>
      <c r="J27" s="238" t="str">
        <f t="shared" si="4"/>
        <v>Case RAL_6024_Verkehrsgrün:     n = 6024</v>
      </c>
      <c r="K27" s="238" t="str">
        <f t="shared" si="5"/>
        <v>Case 6024: c = RAL_6024_Verkehrsgrün</v>
      </c>
      <c r="L27" s="238" t="str">
        <f t="shared" si="6"/>
        <v>MColor.CIELab(53, -45, 14)</v>
      </c>
      <c r="M27" s="238" t="str">
        <f t="shared" si="7"/>
        <v>m_Arr(i) = TNamedRALColor("Verkehrsgrün", 6024, RALClassic.RAL_6024_Verkehrsgrün, MColor.CIELab(53, -45, 14)):   i = i + 1</v>
      </c>
      <c r="N27" s="7">
        <v>53</v>
      </c>
      <c r="O27" s="7">
        <v>-45</v>
      </c>
      <c r="P27" s="7">
        <v>14</v>
      </c>
      <c r="Q27" s="5" t="s">
        <v>196</v>
      </c>
    </row>
    <row r="28" spans="1:17" ht="15" customHeight="1" x14ac:dyDescent="0.25">
      <c r="A28" s="3">
        <v>6025</v>
      </c>
      <c r="B28" s="5" t="s">
        <v>197</v>
      </c>
      <c r="C28" s="136"/>
      <c r="D28" t="s">
        <v>476</v>
      </c>
      <c r="E28" s="5" t="str">
        <f t="shared" si="0"/>
        <v>RAL_6025_Farngrün</v>
      </c>
      <c r="F28" s="237" t="s">
        <v>574</v>
      </c>
      <c r="G28" s="5" t="str">
        <f t="shared" si="1"/>
        <v>&amp;H3B6E5E&amp;</v>
      </c>
      <c r="H28" s="5">
        <f t="shared" si="2"/>
        <v>17</v>
      </c>
      <c r="I28" s="238" t="str">
        <f t="shared" si="3"/>
        <v>Case RAL_6025_Farngrün:         s = "Farngrün"</v>
      </c>
      <c r="J28" s="238" t="str">
        <f t="shared" si="4"/>
        <v>Case RAL_6025_Farngrün:         n = 6025</v>
      </c>
      <c r="K28" s="238" t="str">
        <f t="shared" si="5"/>
        <v>Case 6025: c = RAL_6025_Farngrün</v>
      </c>
      <c r="L28" s="238" t="str">
        <f t="shared" si="6"/>
        <v>MColor.CIELab(51, -13, 26)</v>
      </c>
      <c r="M28" s="238" t="str">
        <f t="shared" si="7"/>
        <v>m_Arr(i) = TNamedRALColor("Farngrün", 6025, RALClassic.RAL_6025_Farngrün, MColor.CIELab(51, -13, 26)):           i = i + 1</v>
      </c>
      <c r="N28" s="7">
        <v>51</v>
      </c>
      <c r="O28" s="7">
        <v>-13</v>
      </c>
      <c r="P28" s="7">
        <v>26</v>
      </c>
      <c r="Q28" s="5"/>
    </row>
    <row r="29" spans="1:17" ht="15" customHeight="1" x14ac:dyDescent="0.25">
      <c r="A29" s="3">
        <v>6026</v>
      </c>
      <c r="B29" s="5" t="s">
        <v>198</v>
      </c>
      <c r="C29" s="137"/>
      <c r="D29" t="s">
        <v>477</v>
      </c>
      <c r="E29" s="5" t="str">
        <f t="shared" si="0"/>
        <v>RAL_6026_Opalgrün</v>
      </c>
      <c r="F29" s="237" t="s">
        <v>574</v>
      </c>
      <c r="G29" s="5" t="str">
        <f t="shared" si="1"/>
        <v>&amp;H4E5F00&amp;</v>
      </c>
      <c r="H29" s="5">
        <f t="shared" si="2"/>
        <v>17</v>
      </c>
      <c r="I29" s="238" t="str">
        <f t="shared" si="3"/>
        <v>Case RAL_6026_Opalgrün:         s = "Opalgrün"</v>
      </c>
      <c r="J29" s="238" t="str">
        <f t="shared" si="4"/>
        <v>Case RAL_6026_Opalgrün:         n = 6026</v>
      </c>
      <c r="K29" s="238" t="str">
        <f t="shared" si="5"/>
        <v>Case 6026: c = RAL_6026_Opalgrün</v>
      </c>
      <c r="L29" s="238" t="str">
        <f t="shared" si="6"/>
        <v>MColor.CIELab(42, -33, 0)</v>
      </c>
      <c r="M29" s="238" t="str">
        <f t="shared" si="7"/>
        <v>m_Arr(i) = TNamedRALColor("Opalgrün", 6026, RALClassic.RAL_6026_Opalgrün, MColor.CIELab(42, -33, 0)):            i = i + 1</v>
      </c>
      <c r="N29" s="7">
        <v>42</v>
      </c>
      <c r="O29" s="7">
        <v>-33</v>
      </c>
      <c r="P29" s="7">
        <v>0</v>
      </c>
      <c r="Q29" s="5"/>
    </row>
    <row r="30" spans="1:17" ht="15" customHeight="1" x14ac:dyDescent="0.25">
      <c r="A30" s="3">
        <v>6027</v>
      </c>
      <c r="B30" s="5" t="s">
        <v>199</v>
      </c>
      <c r="C30" s="138"/>
      <c r="D30" t="s">
        <v>478</v>
      </c>
      <c r="E30" s="5" t="str">
        <f t="shared" si="0"/>
        <v>RAL_6027_Lichtgrün</v>
      </c>
      <c r="F30" s="237" t="s">
        <v>574</v>
      </c>
      <c r="G30" s="5" t="str">
        <f t="shared" si="1"/>
        <v>&amp;HB5BA7E&amp;</v>
      </c>
      <c r="H30" s="5">
        <f t="shared" si="2"/>
        <v>18</v>
      </c>
      <c r="I30" s="238" t="str">
        <f t="shared" si="3"/>
        <v>Case RAL_6027_Lichtgrün:        s = "Lichtgrün"</v>
      </c>
      <c r="J30" s="238" t="str">
        <f t="shared" si="4"/>
        <v>Case RAL_6027_Lichtgrün:        n = 6027</v>
      </c>
      <c r="K30" s="238" t="str">
        <f t="shared" si="5"/>
        <v>Case 6027: c = RAL_6027_Lichtgrün</v>
      </c>
      <c r="L30" s="238" t="str">
        <f t="shared" si="6"/>
        <v>MColor.CIELab(76, -19, -4)</v>
      </c>
      <c r="M30" s="238" t="str">
        <f t="shared" si="7"/>
        <v>m_Arr(i) = TNamedRALColor("Lichtgrün", 6027, RALClassic.RAL_6027_Lichtgrün, MColor.CIELab(76, -19, -4)):         i = i + 1</v>
      </c>
      <c r="N30" s="7">
        <v>76</v>
      </c>
      <c r="O30" s="7">
        <v>-19</v>
      </c>
      <c r="P30" s="7">
        <v>-4</v>
      </c>
      <c r="Q30" s="5"/>
    </row>
    <row r="31" spans="1:17" ht="15" customHeight="1" x14ac:dyDescent="0.25">
      <c r="A31" s="3">
        <v>6028</v>
      </c>
      <c r="B31" s="5" t="s">
        <v>200</v>
      </c>
      <c r="C31" s="139"/>
      <c r="D31" t="s">
        <v>479</v>
      </c>
      <c r="E31" s="5" t="str">
        <f t="shared" si="0"/>
        <v>RAL_6028_Kieferngrün</v>
      </c>
      <c r="F31" s="237" t="s">
        <v>574</v>
      </c>
      <c r="G31" s="5" t="str">
        <f t="shared" si="1"/>
        <v>&amp;H425431&amp;</v>
      </c>
      <c r="H31" s="5">
        <f t="shared" si="2"/>
        <v>20</v>
      </c>
      <c r="I31" s="238" t="str">
        <f t="shared" si="3"/>
        <v>Case RAL_6028_Kieferngrün:      s = "Kieferngrün"</v>
      </c>
      <c r="J31" s="238" t="str">
        <f t="shared" si="4"/>
        <v>Case RAL_6028_Kieferngrün:      n = 6028</v>
      </c>
      <c r="K31" s="238" t="str">
        <f t="shared" si="5"/>
        <v>Case 6028: c = RAL_6028_Kieferngrün</v>
      </c>
      <c r="L31" s="238" t="str">
        <f t="shared" si="6"/>
        <v>MColor.CIELab(40, -18, 6)</v>
      </c>
      <c r="M31" s="238" t="str">
        <f t="shared" si="7"/>
        <v>m_Arr(i) = TNamedRALColor("Kieferngrün", 6028, RALClassic.RAL_6028_Kieferngrün, MColor.CIELab(40, -18, 6)):      i = i + 1</v>
      </c>
      <c r="N31" s="7">
        <v>40</v>
      </c>
      <c r="O31" s="7">
        <v>-18</v>
      </c>
      <c r="P31" s="7">
        <v>6</v>
      </c>
      <c r="Q31" s="5"/>
    </row>
    <row r="32" spans="1:17" ht="15" customHeight="1" x14ac:dyDescent="0.25">
      <c r="A32" s="3">
        <v>6029</v>
      </c>
      <c r="B32" s="5" t="s">
        <v>201</v>
      </c>
      <c r="C32" s="233"/>
      <c r="D32" t="s">
        <v>480</v>
      </c>
      <c r="E32" s="5" t="str">
        <f t="shared" si="0"/>
        <v>RAL_6029_Minzgrün</v>
      </c>
      <c r="F32" s="237" t="s">
        <v>574</v>
      </c>
      <c r="G32" s="5" t="str">
        <f t="shared" si="1"/>
        <v>&amp;H3D6F00&amp;</v>
      </c>
      <c r="H32" s="5">
        <f t="shared" si="2"/>
        <v>17</v>
      </c>
      <c r="I32" s="238" t="str">
        <f t="shared" si="3"/>
        <v>Case RAL_6029_Minzgrün:         s = "Minzgrün"</v>
      </c>
      <c r="J32" s="238" t="str">
        <f t="shared" si="4"/>
        <v>Case RAL_6029_Minzgrün:         n = 6029</v>
      </c>
      <c r="K32" s="238" t="str">
        <f t="shared" si="5"/>
        <v>Case 6029: c = RAL_6029_Minzgrün</v>
      </c>
      <c r="L32" s="238" t="str">
        <f t="shared" si="6"/>
        <v>MColor.CIELab(47, -43, 17)</v>
      </c>
      <c r="M32" s="238" t="str">
        <f t="shared" si="7"/>
        <v>m_Arr(i) = TNamedRALColor("Minzgrün", 6029, RALClassic.RAL_6029_Minzgrün, MColor.CIELab(47, -43, 17)):           i = i + 1</v>
      </c>
      <c r="N32" s="7">
        <v>47</v>
      </c>
      <c r="O32" s="7">
        <v>-43</v>
      </c>
      <c r="P32" s="7">
        <v>17</v>
      </c>
      <c r="Q32" s="8" t="s">
        <v>563</v>
      </c>
    </row>
    <row r="33" spans="1:17" ht="15" customHeight="1" x14ac:dyDescent="0.25">
      <c r="A33" s="3">
        <v>6032</v>
      </c>
      <c r="B33" s="5" t="s">
        <v>202</v>
      </c>
      <c r="C33" s="140"/>
      <c r="D33" t="s">
        <v>564</v>
      </c>
      <c r="E33" s="5" t="str">
        <f t="shared" si="0"/>
        <v>RAL_6032_Signalgrün</v>
      </c>
      <c r="F33" s="237" t="s">
        <v>574</v>
      </c>
      <c r="G33" s="5" t="str">
        <f t="shared" si="1"/>
        <v>&amp;H527F23&amp;</v>
      </c>
      <c r="H33" s="5">
        <f t="shared" si="2"/>
        <v>19</v>
      </c>
      <c r="I33" s="238" t="str">
        <f t="shared" si="3"/>
        <v>Case RAL_6032_Signalgrün:       s = "Signalgrün"</v>
      </c>
      <c r="J33" s="238" t="str">
        <f t="shared" si="4"/>
        <v>Case RAL_6032_Signalgrün:       n = 6032</v>
      </c>
      <c r="K33" s="238" t="str">
        <f t="shared" si="5"/>
        <v>Case 6032: c = RAL_6032_Signalgrün</v>
      </c>
      <c r="L33" s="238" t="str">
        <f t="shared" si="6"/>
        <v>MColor.CIELab(53, -39, 13)</v>
      </c>
      <c r="M33" s="238" t="str">
        <f t="shared" si="7"/>
        <v>m_Arr(i) = TNamedRALColor("Signalgrün", 6032, RALClassic.RAL_6032_Signalgrün, MColor.CIELab(53, -39, 13)):       i = i + 1</v>
      </c>
      <c r="N33" s="7">
        <v>53</v>
      </c>
      <c r="O33" s="7">
        <v>-39</v>
      </c>
      <c r="P33" s="7">
        <v>13</v>
      </c>
      <c r="Q33" s="8" t="s">
        <v>203</v>
      </c>
    </row>
    <row r="34" spans="1:17" ht="15" customHeight="1" x14ac:dyDescent="0.25">
      <c r="A34" s="3">
        <v>6033</v>
      </c>
      <c r="B34" s="5" t="s">
        <v>204</v>
      </c>
      <c r="C34" s="141"/>
      <c r="D34" t="s">
        <v>565</v>
      </c>
      <c r="E34" s="5" t="str">
        <f t="shared" si="0"/>
        <v>RAL_6033_Minttürkis</v>
      </c>
      <c r="F34" s="237" t="s">
        <v>574</v>
      </c>
      <c r="G34" s="5" t="str">
        <f t="shared" si="1"/>
        <v>&amp;H7F8746&amp;</v>
      </c>
      <c r="H34" s="5">
        <f t="shared" si="2"/>
        <v>19</v>
      </c>
      <c r="I34" s="238" t="str">
        <f t="shared" si="3"/>
        <v>Case RAL_6033_Minttürkis:       s = "Minttürkis"</v>
      </c>
      <c r="J34" s="238" t="str">
        <f t="shared" si="4"/>
        <v>Case RAL_6033_Minttürkis:       n = 6033</v>
      </c>
      <c r="K34" s="238" t="str">
        <f t="shared" si="5"/>
        <v>Case 6033: c = RAL_6033_Minttürkis</v>
      </c>
      <c r="L34" s="238" t="str">
        <f t="shared" si="6"/>
        <v>MColor.CIELab(58, -23, -4)</v>
      </c>
      <c r="M34" s="238" t="str">
        <f t="shared" si="7"/>
        <v>m_Arr(i) = TNamedRALColor("Minttürkis", 6033, RALClassic.RAL_6033_Minttürkis, MColor.CIELab(58, -23, -4)):       i = i + 1</v>
      </c>
      <c r="N34" s="7">
        <v>58</v>
      </c>
      <c r="O34" s="7">
        <v>-23</v>
      </c>
      <c r="P34" s="7">
        <v>-4</v>
      </c>
      <c r="Q34" s="5"/>
    </row>
    <row r="35" spans="1:17" ht="15" customHeight="1" x14ac:dyDescent="0.25">
      <c r="A35" s="3">
        <v>6034</v>
      </c>
      <c r="B35" s="5" t="s">
        <v>205</v>
      </c>
      <c r="C35" s="142"/>
      <c r="D35" t="s">
        <v>566</v>
      </c>
      <c r="E35" s="5" t="str">
        <f t="shared" si="0"/>
        <v>RAL_6034_Pastelltürkis</v>
      </c>
      <c r="F35" s="237" t="s">
        <v>574</v>
      </c>
      <c r="G35" s="5" t="str">
        <f t="shared" si="1"/>
        <v>&amp;HACAC7A&amp;</v>
      </c>
      <c r="H35" s="5">
        <f t="shared" si="2"/>
        <v>22</v>
      </c>
      <c r="I35" s="238" t="str">
        <f t="shared" si="3"/>
        <v>Case RAL_6034_Pastelltürkis:    s = "Pastelltürkis"</v>
      </c>
      <c r="J35" s="238" t="str">
        <f t="shared" si="4"/>
        <v>Case RAL_6034_Pastelltürkis:    n = 6034</v>
      </c>
      <c r="K35" s="238" t="str">
        <f t="shared" si="5"/>
        <v>Case 6034: c = RAL_6034_Pastelltürkis</v>
      </c>
      <c r="L35" s="238" t="str">
        <f t="shared" si="6"/>
        <v>MColor.CIELab(72, -16, -6)</v>
      </c>
      <c r="M35" s="238" t="str">
        <f t="shared" si="7"/>
        <v>m_Arr(i) = TNamedRALColor("Pastelltürkis", 6034, RALClassic.RAL_6034_Pastelltürkis, MColor.CIELab(72, -16, -6)): i = i + 1</v>
      </c>
      <c r="N35" s="7">
        <v>72</v>
      </c>
      <c r="O35" s="7">
        <v>-16</v>
      </c>
      <c r="P35" s="7">
        <v>-6</v>
      </c>
      <c r="Q35" s="5"/>
    </row>
    <row r="36" spans="1:17" ht="15" customHeight="1" x14ac:dyDescent="0.25">
      <c r="A36" s="3">
        <v>6035</v>
      </c>
      <c r="B36" s="5" t="s">
        <v>206</v>
      </c>
      <c r="C36" s="143"/>
      <c r="D36" t="s">
        <v>567</v>
      </c>
      <c r="E36" s="5" t="str">
        <f t="shared" si="0"/>
        <v>RAL_6035_Perlgrün</v>
      </c>
      <c r="F36" s="237" t="s">
        <v>574</v>
      </c>
      <c r="G36" s="5" t="str">
        <f t="shared" si="1"/>
        <v>&amp;H254D19&amp;</v>
      </c>
      <c r="H36" s="5">
        <f t="shared" si="2"/>
        <v>17</v>
      </c>
      <c r="I36" s="238" t="str">
        <f t="shared" si="3"/>
        <v>Case RAL_6035_Perlgrün:         s = "Perlgrün"</v>
      </c>
      <c r="J36" s="238" t="str">
        <f t="shared" si="4"/>
        <v>Case RAL_6035_Perlgrün:         n = 6035</v>
      </c>
      <c r="K36" s="238" t="str">
        <f t="shared" si="5"/>
        <v>Case 6035: c = RAL_6035_Perlgrün</v>
      </c>
      <c r="L36" s="238" t="str">
        <f t="shared" si="6"/>
        <v>MColor.CIELab(35, -30, 19)</v>
      </c>
      <c r="M36" s="238" t="str">
        <f t="shared" si="7"/>
        <v>m_Arr(i) = TNamedRALColor("Perlgrün", 6035, RALClassic.RAL_6035_Perlgrün, MColor.CIELab(35, -30, 19)):           i = i + 1</v>
      </c>
      <c r="N36" s="7">
        <v>35</v>
      </c>
      <c r="O36" s="7">
        <v>-30</v>
      </c>
      <c r="P36" s="7">
        <v>19</v>
      </c>
      <c r="Q36" s="5"/>
    </row>
    <row r="37" spans="1:17" ht="15" customHeight="1" x14ac:dyDescent="0.25">
      <c r="A37" s="3">
        <v>6036</v>
      </c>
      <c r="B37" s="5" t="s">
        <v>207</v>
      </c>
      <c r="C37" s="144"/>
      <c r="D37" t="s">
        <v>568</v>
      </c>
      <c r="E37" s="5" t="str">
        <f t="shared" si="0"/>
        <v>RAL_6036_Perlopalgrün</v>
      </c>
      <c r="F37" s="237" t="s">
        <v>574</v>
      </c>
      <c r="G37" s="5" t="str">
        <f t="shared" si="1"/>
        <v>&amp;H4B5704&amp;</v>
      </c>
      <c r="H37" s="5">
        <f t="shared" si="2"/>
        <v>21</v>
      </c>
      <c r="I37" s="238" t="str">
        <f t="shared" si="3"/>
        <v>Case RAL_6036_Perlopalgrün:     s = "Perlopalgrün"</v>
      </c>
      <c r="J37" s="238" t="str">
        <f t="shared" si="4"/>
        <v>Case RAL_6036_Perlopalgrün:     n = 6036</v>
      </c>
      <c r="K37" s="238" t="str">
        <f t="shared" si="5"/>
        <v>Case 6036: c = RAL_6036_Perlopalgrün</v>
      </c>
      <c r="L37" s="238" t="str">
        <f t="shared" si="6"/>
        <v>MColor.CIELab(39, -30, -2)</v>
      </c>
      <c r="M37" s="238" t="str">
        <f t="shared" si="7"/>
        <v>m_Arr(i) = TNamedRALColor("Perlopalgrün", 6036, RALClassic.RAL_6036_Perlopalgrün, MColor.CIELab(39, -30, -2)):   i = i + 1</v>
      </c>
      <c r="N37" s="7">
        <v>39</v>
      </c>
      <c r="O37" s="7">
        <v>-30</v>
      </c>
      <c r="P37" s="7">
        <v>-2</v>
      </c>
      <c r="Q37" s="5"/>
    </row>
    <row r="38" spans="1:17" ht="15" customHeight="1" x14ac:dyDescent="0.25">
      <c r="A38" s="3">
        <v>6037</v>
      </c>
      <c r="B38" s="5" t="s">
        <v>208</v>
      </c>
      <c r="C38" s="145"/>
      <c r="D38" t="s">
        <v>569</v>
      </c>
      <c r="E38" s="5" t="str">
        <f t="shared" si="0"/>
        <v>RAL_6037_Reingrün</v>
      </c>
      <c r="F38" s="237" t="s">
        <v>574</v>
      </c>
      <c r="G38" s="5" t="str">
        <f t="shared" si="1"/>
        <v>&amp;H298B00&amp;</v>
      </c>
      <c r="H38" s="5">
        <f t="shared" si="2"/>
        <v>17</v>
      </c>
      <c r="I38" s="238" t="str">
        <f t="shared" si="3"/>
        <v>Case RAL_6037_Reingrün:         s = "Reingrün"</v>
      </c>
      <c r="J38" s="238" t="str">
        <f t="shared" si="4"/>
        <v>Case RAL_6037_Reingrün:         n = 6037</v>
      </c>
      <c r="K38" s="238" t="str">
        <f t="shared" si="5"/>
        <v>Case 6037: c = RAL_6037_Reingrün</v>
      </c>
      <c r="L38" s="238" t="str">
        <f t="shared" si="6"/>
        <v>MColor.CIELab(55, -54, 39)</v>
      </c>
      <c r="M38" s="238" t="str">
        <f t="shared" si="7"/>
        <v>m_Arr(i) = TNamedRALColor("Reingrün", 6037, RALClassic.RAL_6037_Reingrün, MColor.CIELab(55, -54, 39)):           i = i + 1</v>
      </c>
      <c r="N38" s="7">
        <v>55</v>
      </c>
      <c r="O38" s="7">
        <v>-54</v>
      </c>
      <c r="P38" s="7">
        <v>39</v>
      </c>
      <c r="Q38" s="8" t="s">
        <v>209</v>
      </c>
    </row>
    <row r="39" spans="1:17" ht="15" customHeight="1" x14ac:dyDescent="0.25">
      <c r="A39" s="3">
        <v>6038</v>
      </c>
      <c r="B39" s="5" t="s">
        <v>210</v>
      </c>
      <c r="C39" s="146"/>
      <c r="D39" t="s">
        <v>570</v>
      </c>
      <c r="E39" s="5" t="str">
        <f t="shared" si="0"/>
        <v>RAL_6038_Leuchtgrün</v>
      </c>
      <c r="F39" s="237" t="s">
        <v>574</v>
      </c>
      <c r="G39" s="5" t="str">
        <f t="shared" si="1"/>
        <v>&amp;H1AB500&amp;</v>
      </c>
      <c r="H39" s="5">
        <f t="shared" si="2"/>
        <v>19</v>
      </c>
      <c r="I39" s="238" t="str">
        <f t="shared" si="3"/>
        <v>Case RAL_6038_Leuchtgrün:       s = "Leuchtgrün"</v>
      </c>
      <c r="J39" s="238" t="str">
        <f t="shared" si="4"/>
        <v>Case RAL_6038_Leuchtgrün:       n = 6038</v>
      </c>
      <c r="K39" s="238" t="str">
        <f t="shared" si="5"/>
        <v>Case 6038: c = RAL_6038_Leuchtgrün</v>
      </c>
      <c r="L39" s="238" t="str">
        <f t="shared" si="6"/>
        <v>MColor.CIELab(67, -66, 56)</v>
      </c>
      <c r="M39" s="238" t="str">
        <f t="shared" si="7"/>
        <v>m_Arr(i) = TNamedRALColor("Leuchtgrün", 6038, RALClassic.RAL_6038_Leuchtgrün, MColor.CIELab(67, -66, 56)):       i = i + 1</v>
      </c>
      <c r="N39" s="7">
        <v>67</v>
      </c>
      <c r="O39" s="7">
        <v>-66</v>
      </c>
      <c r="P39" s="7">
        <v>56</v>
      </c>
      <c r="Q39" s="5" t="s">
        <v>209</v>
      </c>
    </row>
    <row r="40" spans="1:17" ht="15" customHeight="1" x14ac:dyDescent="0.25">
      <c r="A40" s="3">
        <v>6039</v>
      </c>
      <c r="B40" s="5" t="s">
        <v>211</v>
      </c>
      <c r="C40" s="147"/>
      <c r="D40" t="s">
        <v>571</v>
      </c>
      <c r="E40" s="5" t="str">
        <f t="shared" si="0"/>
        <v>RAL_6039_Fasergrün</v>
      </c>
      <c r="F40" s="237" t="s">
        <v>574</v>
      </c>
      <c r="G40" s="5" t="str">
        <f t="shared" si="1"/>
        <v>&amp;H3FC5B3&amp;</v>
      </c>
      <c r="H40" s="5">
        <f t="shared" si="2"/>
        <v>18</v>
      </c>
      <c r="I40" s="238" t="str">
        <f t="shared" si="3"/>
        <v>Case RAL_6039_Fasergrün:        s = "Fasergrün"</v>
      </c>
      <c r="J40" s="238" t="str">
        <f t="shared" si="4"/>
        <v>Case RAL_6039_Fasergrün:        n = 6039</v>
      </c>
      <c r="K40" s="238" t="str">
        <f t="shared" si="5"/>
        <v>Case 6039: c = RAL_6039_Fasergrün</v>
      </c>
      <c r="L40" s="238" t="str">
        <f t="shared" si="6"/>
        <v>MColor.CIELab(76, -23.23, 61.59)</v>
      </c>
      <c r="M40" s="238" t="str">
        <f t="shared" si="7"/>
        <v>m_Arr(i) = TNamedRALColor("Fasergrün", 6039, RALClassic.RAL_6039_Fasergrün, MColor.CIELab(76, -23.23, 61.59)):   i = i + 1</v>
      </c>
      <c r="N40" s="7">
        <v>76</v>
      </c>
      <c r="O40" s="7">
        <v>-23.23</v>
      </c>
      <c r="P40" s="7">
        <v>61.59</v>
      </c>
      <c r="Q40" s="5"/>
    </row>
    <row r="41" spans="1:17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500-000000000000}"/>
    <hyperlink ref="N3" r:id="rId2" tooltip="Lab-Farbraum" display="https://de.wikipedia.org/wiki/Lab-Farbraum" xr:uid="{00000000-0004-0000-0500-000001000000}"/>
    <hyperlink ref="B4" r:id="rId3" tooltip="Patina" display="https://de.wikipedia.org/wiki/Patina" xr:uid="{00000000-0004-0000-0500-000002000000}"/>
    <hyperlink ref="Q4" r:id="rId4" tooltip="Liste der DIN-Normen" display="https://de.wikipedia.org/wiki/Liste_der_DIN-Normen" xr:uid="{00000000-0004-0000-0500-000003000000}"/>
    <hyperlink ref="B6" r:id="rId5" tooltip="Laubgrün (Seite nicht vorhanden)" display="https://de.wikipedia.org/w/index.php?title=Laubgr%C3%BCn&amp;action=edit&amp;redlink=1" xr:uid="{00000000-0004-0000-0500-000004000000}"/>
    <hyperlink ref="B7" r:id="rId6" tooltip="Olivgrün" display="https://de.wikipedia.org/wiki/Olivgr%C3%BCn" xr:uid="{00000000-0004-0000-0500-000005000000}"/>
    <hyperlink ref="Q8" r:id="rId7" location="cite_note-FarbkarteB2-6" display="https://de.wikipedia.org/wiki/RAL-Farbe - cite_note-FarbkarteB2-6" xr:uid="{00000000-0004-0000-0500-000006000000}"/>
    <hyperlink ref="Q9" r:id="rId8" location="cite_note-FarbkarteB2-6" display="https://de.wikipedia.org/wiki/RAL-Farbe - cite_note-FarbkarteB2-6" xr:uid="{00000000-0004-0000-0500-000007000000}"/>
    <hyperlink ref="Q10" r:id="rId9" location="cite_note-FarbkarteB2-6" display="https://de.wikipedia.org/wiki/RAL-Farbe - cite_note-FarbkarteB2-6" xr:uid="{00000000-0004-0000-0500-000008000000}"/>
    <hyperlink ref="Q11" r:id="rId10" location="cite_note-FarbkarteB2-6" display="https://de.wikipedia.org/wiki/RAL-Farbe - cite_note-FarbkarteB2-6" xr:uid="{00000000-0004-0000-0500-000009000000}"/>
    <hyperlink ref="B13" r:id="rId11" tooltip="Tannengrün (Farbe)" display="https://de.wikipedia.org/wiki/Tannengr%C3%BCn_(Farbe)" xr:uid="{00000000-0004-0000-0500-00000A000000}"/>
    <hyperlink ref="Q13" r:id="rId12" location="cite_note-FarbkarteB2-6" display="https://de.wikipedia.org/wiki/RAL-Farbe - cite_note-FarbkarteB2-6" xr:uid="{00000000-0004-0000-0500-00000B000000}"/>
    <hyperlink ref="B15" r:id="rId13" location="Farbe_Resedagrün" tooltip="Reseda" display="https://de.wikipedia.org/wiki/Reseda - Farbe_Resedagrün" xr:uid="{00000000-0004-0000-0500-00000C000000}"/>
    <hyperlink ref="Q16" r:id="rId14" tooltip="Bundesgrenzschutz" display="https://de.wikipedia.org/wiki/Bundesgrenzschutz" xr:uid="{00000000-0004-0000-0500-00000D000000}"/>
    <hyperlink ref="B21" r:id="rId15" tooltip="Maigrün" display="https://de.wikipedia.org/wiki/Maigr%C3%BCn" xr:uid="{00000000-0004-0000-0500-00000E000000}"/>
    <hyperlink ref="Q21" r:id="rId16" tooltip="Bündnis 90/Die Grünen" display="https://de.wikipedia.org/wiki/B%C3%BCndnis_90/Die_Gr%C3%BCnen" xr:uid="{00000000-0004-0000-0500-00000F000000}"/>
    <hyperlink ref="B22" r:id="rId17" tooltip="Gelbgrün" display="https://de.wikipedia.org/wiki/Gelbgr%C3%BCn" xr:uid="{00000000-0004-0000-0500-000010000000}"/>
    <hyperlink ref="B24" r:id="rId18" tooltip="Chrom(III)-oxid" display="https://de.wikipedia.org/wiki/Chrom(III)-oxid" xr:uid="{00000000-0004-0000-0500-000011000000}"/>
    <hyperlink ref="B25" r:id="rId19" tooltip="Blassgrün" display="https://de.wikipedia.org/wiki/Blassgr%C3%BCn" xr:uid="{00000000-0004-0000-0500-000012000000}"/>
    <hyperlink ref="Q32" r:id="rId20" tooltip="Bundesgrenzschutz" display="https://de.wikipedia.org/wiki/Bundesgrenzschutz" xr:uid="{00000000-0004-0000-0500-000013000000}"/>
    <hyperlink ref="Q33" r:id="rId21" tooltip="Rettungszeichen" display="https://de.wikipedia.org/wiki/Rettungszeichen" xr:uid="{00000000-0004-0000-0500-000014000000}"/>
    <hyperlink ref="Q38" r:id="rId22" tooltip="Schifffahrtszeichen" display="https://de.wikipedia.org/wiki/Schifffahrtszeichen" xr:uid="{00000000-0004-0000-0500-000015000000}"/>
  </hyperlinks>
  <pageMargins left="0.7" right="0.7" top="0.78740157499999996" bottom="0.78740157499999996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Q42"/>
  <sheetViews>
    <sheetView topLeftCell="L1" workbookViewId="0">
      <selection activeCell="M4" sqref="M4"/>
    </sheetView>
  </sheetViews>
  <sheetFormatPr baseColWidth="10" defaultRowHeight="15" x14ac:dyDescent="0.25"/>
  <cols>
    <col min="2" max="2" width="18.7109375" customWidth="1"/>
    <col min="3" max="4" width="15.7109375" customWidth="1"/>
    <col min="5" max="5" width="23.7109375" bestFit="1" customWidth="1"/>
    <col min="6" max="6" width="2" bestFit="1" customWidth="1"/>
    <col min="7" max="7" width="12.7109375" customWidth="1"/>
    <col min="8" max="8" width="6.7109375" customWidth="1"/>
    <col min="9" max="9" width="53.140625" bestFit="1" customWidth="1"/>
    <col min="10" max="10" width="41.85546875" bestFit="1" customWidth="1"/>
    <col min="11" max="11" width="38.7109375" bestFit="1" customWidth="1"/>
    <col min="12" max="12" width="38.7109375" customWidth="1"/>
    <col min="13" max="13" width="136.42578125" bestFit="1" customWidth="1"/>
    <col min="17" max="17" width="161.28515625" customWidth="1"/>
  </cols>
  <sheetData>
    <row r="1" spans="1:17" ht="18" x14ac:dyDescent="0.25">
      <c r="A1" s="2" t="s">
        <v>212</v>
      </c>
      <c r="M1" s="238"/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7000</v>
      </c>
      <c r="B4" s="5" t="s">
        <v>213</v>
      </c>
      <c r="C4" s="148"/>
      <c r="D4" t="s">
        <v>481</v>
      </c>
      <c r="E4" s="5" t="str">
        <f>"RAL" &amp; "_" &amp; A4 &amp; "_" &amp; B4</f>
        <v>RAL_7000_Fehgrau</v>
      </c>
      <c r="F4" s="237" t="s">
        <v>574</v>
      </c>
      <c r="G4" s="5" t="str">
        <f>D4 &amp; "&amp;"</f>
        <v>&amp;H8E887A&amp;</v>
      </c>
      <c r="H4" s="5">
        <f>LEN(E4)</f>
        <v>16</v>
      </c>
      <c r="I4" s="238" t="str">
        <f>"Case "&amp; "RAL" &amp; "_"&amp; A4 &amp;"_"&amp;B4&amp;": "&amp;REPT(" ",25-LEN(E4))&amp;"s = """&amp;B4&amp;""""</f>
        <v>Case RAL_7000_Fehgrau:          s = "Fehgrau"</v>
      </c>
      <c r="J4" s="238" t="str">
        <f>"Case " &amp; "RAL" &amp; "_" &amp; A4 &amp;"_"&amp;B4&amp;": "&amp;REPT(" ",25-H4) &amp; "n = " &amp; A4</f>
        <v>Case RAL_7000_Fehgrau:          n = 7000</v>
      </c>
      <c r="K4" s="238" t="str">
        <f>"Case " &amp; A4 &amp; ": c = " &amp; "RAL" &amp; "_" &amp; A4 &amp; "_" &amp; B4</f>
        <v>Case 7000: c = RAL_7000_Fehgrau</v>
      </c>
      <c r="L4" s="238" t="str">
        <f xml:space="preserve"> "MColor.CIELab(" &amp; SUBSTITUTE(N4, ",", ".") &amp; ", " &amp; SUBSTITUTE(O4, ",", ".") &amp; ", " &amp; SUBSTITUTE(P4, ",", ".") &amp; ")"</f>
        <v>MColor.CIELab(63, -4, -5)</v>
      </c>
      <c r="M4" s="238" t="str">
        <f>"m_Arr(i) = TNamedRALColor(""" &amp; B4 &amp; """, " &amp; A4 &amp; ", RALClassic." &amp; E4 &amp; ", " &amp; L4 &amp; "): " &amp; REPT(" ", (79-LEN(L4))-2*H4) &amp; "i = i + 1"</f>
        <v>m_Arr(i) = TNamedRALColor("Fehgrau", 7000, RALClassic.RAL_7000_Fehgrau, MColor.CIELab(63, -4, -5)):                       i = i + 1</v>
      </c>
      <c r="N4" s="7">
        <v>63</v>
      </c>
      <c r="O4" s="7">
        <v>-4</v>
      </c>
      <c r="P4" s="7">
        <v>-5</v>
      </c>
      <c r="Q4" s="8" t="s">
        <v>214</v>
      </c>
    </row>
    <row r="5" spans="1:17" ht="15" customHeight="1" x14ac:dyDescent="0.25">
      <c r="A5" s="3">
        <v>7001</v>
      </c>
      <c r="B5" s="8" t="s">
        <v>215</v>
      </c>
      <c r="C5" s="149"/>
      <c r="D5" t="s">
        <v>482</v>
      </c>
      <c r="E5" s="5" t="str">
        <f t="shared" ref="E5:E41" si="0">"RAL" &amp; "_" &amp; A5 &amp; "_" &amp; B5</f>
        <v>RAL_7001_Silbergrau</v>
      </c>
      <c r="F5" s="237" t="s">
        <v>574</v>
      </c>
      <c r="G5" s="5" t="str">
        <f t="shared" ref="G5:G41" si="1">D5 &amp; "&amp;"</f>
        <v>&amp;H9F998F&amp;</v>
      </c>
      <c r="H5" s="5">
        <f t="shared" ref="H5:H41" si="2">LEN(E5)</f>
        <v>19</v>
      </c>
      <c r="I5" s="238" t="str">
        <f t="shared" ref="I5:I41" si="3">"Case "&amp; "RAL" &amp; "_"&amp; A5 &amp;"_"&amp;B5&amp;": "&amp;REPT(" ",25-LEN(E5))&amp;"s = """&amp;B5&amp;""""</f>
        <v>Case RAL_7001_Silbergrau:       s = "Silbergrau"</v>
      </c>
      <c r="J5" s="238" t="str">
        <f t="shared" ref="J5:J41" si="4">"Case " &amp; "RAL" &amp; "_" &amp; A5 &amp;"_"&amp;B5&amp;": "&amp;REPT(" ",25-H5) &amp; "n = " &amp; A5</f>
        <v>Case RAL_7001_Silbergrau:       n = 7001</v>
      </c>
      <c r="K5" s="238" t="str">
        <f t="shared" ref="K5:K41" si="5">"Case " &amp; A5 &amp; ": c = " &amp; "RAL" &amp; "_" &amp; A5 &amp; "_" &amp; B5</f>
        <v>Case 7001: c = RAL_7001_Silbergrau</v>
      </c>
      <c r="L5" s="238" t="str">
        <f t="shared" ref="L5:L41" si="6" xml:space="preserve"> "MColor.CIELab(" &amp; SUBSTITUTE(N5, ",", ".") &amp; ", " &amp; SUBSTITUTE(O5, ",", ".") &amp; ", " &amp; SUBSTITUTE(P5, ",", ".") &amp; ")"</f>
        <v>MColor.CIELab(63.81, -2.22, -4.05)</v>
      </c>
      <c r="M5" s="238" t="str">
        <f t="shared" ref="M5:M41" si="7">"m_Arr(i) = TNamedRALColor(""" &amp; B5 &amp; """, " &amp; A5 &amp; ", RALClassic." &amp; E5 &amp; ", " &amp; L5 &amp; "): " &amp; REPT(" ", (79-LEN(L5))-2*H5) &amp; "i = i + 1"</f>
        <v>m_Arr(i) = TNamedRALColor("Silbergrau", 7001, RALClassic.RAL_7001_Silbergrau, MColor.CIELab(63.81, -2.22, -4.05)):        i = i + 1</v>
      </c>
      <c r="N5" s="7">
        <v>63.81</v>
      </c>
      <c r="O5" s="7">
        <v>-2.2200000000000002</v>
      </c>
      <c r="P5" s="7">
        <v>-4.05</v>
      </c>
      <c r="Q5" s="5"/>
    </row>
    <row r="6" spans="1:17" ht="15" customHeight="1" x14ac:dyDescent="0.25">
      <c r="A6" s="3">
        <v>7002</v>
      </c>
      <c r="B6" s="5" t="s">
        <v>216</v>
      </c>
      <c r="C6" s="150"/>
      <c r="D6" t="s">
        <v>483</v>
      </c>
      <c r="E6" s="5" t="str">
        <f t="shared" si="0"/>
        <v>RAL_7002_Olivgrau</v>
      </c>
      <c r="F6" s="237" t="s">
        <v>574</v>
      </c>
      <c r="G6" s="5" t="str">
        <f t="shared" si="1"/>
        <v>&amp;H637881&amp;</v>
      </c>
      <c r="H6" s="5">
        <f t="shared" si="2"/>
        <v>17</v>
      </c>
      <c r="I6" s="238" t="str">
        <f t="shared" si="3"/>
        <v>Case RAL_7002_Olivgrau:         s = "Olivgrau"</v>
      </c>
      <c r="J6" s="238" t="str">
        <f t="shared" si="4"/>
        <v>Case RAL_7002_Olivgrau:         n = 7002</v>
      </c>
      <c r="K6" s="238" t="str">
        <f t="shared" si="5"/>
        <v>Case 7002: c = RAL_7002_Olivgrau</v>
      </c>
      <c r="L6" s="238" t="str">
        <f t="shared" si="6"/>
        <v>MColor.CIELab(58, 1, 12)</v>
      </c>
      <c r="M6" s="238" t="str">
        <f t="shared" si="7"/>
        <v>m_Arr(i) = TNamedRALColor("Olivgrau", 7002, RALClassic.RAL_7002_Olivgrau, MColor.CIELab(58, 1, 12)):                      i = i + 1</v>
      </c>
      <c r="N6" s="7">
        <v>58</v>
      </c>
      <c r="O6" s="7">
        <v>1</v>
      </c>
      <c r="P6" s="7">
        <v>12</v>
      </c>
      <c r="Q6" s="8" t="s">
        <v>217</v>
      </c>
    </row>
    <row r="7" spans="1:17" ht="15" customHeight="1" x14ac:dyDescent="0.25">
      <c r="A7" s="3">
        <v>7003</v>
      </c>
      <c r="B7" s="5" t="s">
        <v>218</v>
      </c>
      <c r="C7" s="151"/>
      <c r="D7" t="s">
        <v>484</v>
      </c>
      <c r="E7" s="5" t="str">
        <f t="shared" si="0"/>
        <v>RAL_7003_Moosgrau</v>
      </c>
      <c r="F7" s="237" t="s">
        <v>574</v>
      </c>
      <c r="G7" s="5" t="str">
        <f t="shared" si="1"/>
        <v>&amp;H69767A&amp;</v>
      </c>
      <c r="H7" s="5">
        <f t="shared" si="2"/>
        <v>17</v>
      </c>
      <c r="I7" s="238" t="str">
        <f t="shared" si="3"/>
        <v>Case RAL_7003_Moosgrau:         s = "Moosgrau"</v>
      </c>
      <c r="J7" s="238" t="str">
        <f t="shared" si="4"/>
        <v>Case RAL_7003_Moosgrau:         n = 7003</v>
      </c>
      <c r="K7" s="238" t="str">
        <f t="shared" si="5"/>
        <v>Case 7003: c = RAL_7003_Moosgrau</v>
      </c>
      <c r="L7" s="238" t="str">
        <f t="shared" si="6"/>
        <v>MColor.CIELab(57, 0, 7)</v>
      </c>
      <c r="M7" s="238" t="str">
        <f t="shared" si="7"/>
        <v>m_Arr(i) = TNamedRALColor("Moosgrau", 7003, RALClassic.RAL_7003_Moosgrau, MColor.CIELab(57, 0, 7)):                       i = i + 1</v>
      </c>
      <c r="N7" s="7">
        <v>57</v>
      </c>
      <c r="O7" s="7">
        <v>0</v>
      </c>
      <c r="P7" s="7">
        <v>7</v>
      </c>
      <c r="Q7" s="8" t="s">
        <v>219</v>
      </c>
    </row>
    <row r="8" spans="1:17" ht="15" customHeight="1" x14ac:dyDescent="0.25">
      <c r="A8" s="3">
        <v>7004</v>
      </c>
      <c r="B8" s="5" t="s">
        <v>220</v>
      </c>
      <c r="C8" s="152"/>
      <c r="D8" t="s">
        <v>485</v>
      </c>
      <c r="E8" s="5" t="str">
        <f t="shared" si="0"/>
        <v>RAL_7004_Signalgrau</v>
      </c>
      <c r="F8" s="237" t="s">
        <v>574</v>
      </c>
      <c r="G8" s="5" t="str">
        <f t="shared" si="1"/>
        <v>&amp;H9B9B9B&amp;</v>
      </c>
      <c r="H8" s="5">
        <f t="shared" si="2"/>
        <v>19</v>
      </c>
      <c r="I8" s="238" t="str">
        <f t="shared" si="3"/>
        <v>Case RAL_7004_Signalgrau:       s = "Signalgrau"</v>
      </c>
      <c r="J8" s="238" t="str">
        <f t="shared" si="4"/>
        <v>Case RAL_7004_Signalgrau:       n = 7004</v>
      </c>
      <c r="K8" s="238" t="str">
        <f t="shared" si="5"/>
        <v>Case 7004: c = RAL_7004_Signalgrau</v>
      </c>
      <c r="L8" s="238" t="str">
        <f t="shared" si="6"/>
        <v>MColor.CIELab(63.83, 0.19, -0.44)</v>
      </c>
      <c r="M8" s="238" t="str">
        <f t="shared" si="7"/>
        <v>m_Arr(i) = TNamedRALColor("Signalgrau", 7004, RALClassic.RAL_7004_Signalgrau, MColor.CIELab(63.83, 0.19, -0.44)):         i = i + 1</v>
      </c>
      <c r="N8" s="7">
        <v>63.83</v>
      </c>
      <c r="O8" s="7">
        <v>0.19</v>
      </c>
      <c r="P8" s="7">
        <v>-0.44</v>
      </c>
      <c r="Q8" s="5"/>
    </row>
    <row r="9" spans="1:17" ht="15" customHeight="1" x14ac:dyDescent="0.25">
      <c r="A9" s="3">
        <v>7005</v>
      </c>
      <c r="B9" s="5" t="s">
        <v>221</v>
      </c>
      <c r="C9" s="153"/>
      <c r="D9" t="s">
        <v>486</v>
      </c>
      <c r="E9" s="5" t="str">
        <f t="shared" si="0"/>
        <v>RAL_7005_Mausgrau</v>
      </c>
      <c r="F9" s="237" t="s">
        <v>574</v>
      </c>
      <c r="G9" s="5" t="str">
        <f t="shared" si="1"/>
        <v>&amp;H6F716B&amp;</v>
      </c>
      <c r="H9" s="5">
        <f t="shared" si="2"/>
        <v>17</v>
      </c>
      <c r="I9" s="238" t="str">
        <f t="shared" si="3"/>
        <v>Case RAL_7005_Mausgrau:         s = "Mausgrau"</v>
      </c>
      <c r="J9" s="238" t="str">
        <f t="shared" si="4"/>
        <v>Case RAL_7005_Mausgrau:         n = 7005</v>
      </c>
      <c r="K9" s="238" t="str">
        <f t="shared" si="5"/>
        <v>Case 7005: c = RAL_7005_Mausgrau</v>
      </c>
      <c r="L9" s="238" t="str">
        <f t="shared" si="6"/>
        <v>MColor.CIELab(50, -1.55, 0.82)</v>
      </c>
      <c r="M9" s="238" t="str">
        <f t="shared" si="7"/>
        <v>m_Arr(i) = TNamedRALColor("Mausgrau", 7005, RALClassic.RAL_7005_Mausgrau, MColor.CIELab(50, -1.55, 0.82)):                i = i + 1</v>
      </c>
      <c r="N9" s="7">
        <v>50</v>
      </c>
      <c r="O9" s="7">
        <v>-1.55</v>
      </c>
      <c r="P9" s="7">
        <v>0.82</v>
      </c>
      <c r="Q9" s="5"/>
    </row>
    <row r="10" spans="1:17" ht="15" customHeight="1" x14ac:dyDescent="0.25">
      <c r="A10" s="3">
        <v>7006</v>
      </c>
      <c r="B10" s="5" t="s">
        <v>222</v>
      </c>
      <c r="C10" s="154"/>
      <c r="D10" t="s">
        <v>487</v>
      </c>
      <c r="E10" s="5" t="str">
        <f t="shared" si="0"/>
        <v>RAL_7006_Beigegrau</v>
      </c>
      <c r="F10" s="237" t="s">
        <v>574</v>
      </c>
      <c r="G10" s="5" t="str">
        <f t="shared" si="1"/>
        <v>&amp;H616F75&amp;</v>
      </c>
      <c r="H10" s="5">
        <f t="shared" si="2"/>
        <v>18</v>
      </c>
      <c r="I10" s="238" t="str">
        <f t="shared" si="3"/>
        <v>Case RAL_7006_Beigegrau:        s = "Beigegrau"</v>
      </c>
      <c r="J10" s="238" t="str">
        <f t="shared" si="4"/>
        <v>Case RAL_7006_Beigegrau:        n = 7006</v>
      </c>
      <c r="K10" s="238" t="str">
        <f t="shared" si="5"/>
        <v>Case 7006: c = RAL_7006_Beigegrau</v>
      </c>
      <c r="L10" s="238" t="str">
        <f t="shared" si="6"/>
        <v>MColor.CIELab(48.53, 2.15, 7.57)</v>
      </c>
      <c r="M10" s="238" t="str">
        <f t="shared" si="7"/>
        <v>m_Arr(i) = TNamedRALColor("Beigegrau", 7006, RALClassic.RAL_7006_Beigegrau, MColor.CIELab(48.53, 2.15, 7.57)):            i = i + 1</v>
      </c>
      <c r="N10" s="7">
        <v>48.53</v>
      </c>
      <c r="O10" s="7">
        <v>2.15</v>
      </c>
      <c r="P10" s="7">
        <v>7.57</v>
      </c>
      <c r="Q10" s="5"/>
    </row>
    <row r="11" spans="1:17" ht="15" customHeight="1" x14ac:dyDescent="0.25">
      <c r="A11" s="3">
        <v>7008</v>
      </c>
      <c r="B11" s="5" t="s">
        <v>223</v>
      </c>
      <c r="C11" s="155"/>
      <c r="D11" t="s">
        <v>488</v>
      </c>
      <c r="E11" s="5" t="str">
        <f t="shared" si="0"/>
        <v>RAL_7008_Khakigrau</v>
      </c>
      <c r="F11" s="237" t="s">
        <v>574</v>
      </c>
      <c r="G11" s="5" t="str">
        <f t="shared" si="1"/>
        <v>&amp;H3D5E74&amp;</v>
      </c>
      <c r="H11" s="5">
        <f t="shared" si="2"/>
        <v>18</v>
      </c>
      <c r="I11" s="238" t="str">
        <f t="shared" si="3"/>
        <v>Case RAL_7008_Khakigrau:        s = "Khakigrau"</v>
      </c>
      <c r="J11" s="238" t="str">
        <f t="shared" si="4"/>
        <v>Case RAL_7008_Khakigrau:        n = 7008</v>
      </c>
      <c r="K11" s="238" t="str">
        <f t="shared" si="5"/>
        <v>Case 7008: c = RAL_7008_Khakigrau</v>
      </c>
      <c r="L11" s="238" t="str">
        <f t="shared" si="6"/>
        <v>MColor.CIELab(49, 5, 23)</v>
      </c>
      <c r="M11" s="238" t="str">
        <f t="shared" si="7"/>
        <v>m_Arr(i) = TNamedRALColor("Khakigrau", 7008, RALClassic.RAL_7008_Khakigrau, MColor.CIELab(49, 5, 23)):                    i = i + 1</v>
      </c>
      <c r="N11" s="7">
        <v>49</v>
      </c>
      <c r="O11" s="7">
        <v>5</v>
      </c>
      <c r="P11" s="7">
        <v>23</v>
      </c>
      <c r="Q11" s="5" t="s">
        <v>224</v>
      </c>
    </row>
    <row r="12" spans="1:17" ht="15" customHeight="1" x14ac:dyDescent="0.25">
      <c r="A12" s="3">
        <v>7009</v>
      </c>
      <c r="B12" s="5" t="s">
        <v>225</v>
      </c>
      <c r="C12" s="156"/>
      <c r="D12" t="s">
        <v>489</v>
      </c>
      <c r="E12" s="5" t="str">
        <f t="shared" si="0"/>
        <v>RAL_7009_Grüngrau</v>
      </c>
      <c r="F12" s="237" t="s">
        <v>574</v>
      </c>
      <c r="G12" s="5" t="str">
        <f t="shared" si="1"/>
        <v>&amp;H58605D&amp;</v>
      </c>
      <c r="H12" s="5">
        <f t="shared" si="2"/>
        <v>17</v>
      </c>
      <c r="I12" s="238" t="str">
        <f t="shared" si="3"/>
        <v>Case RAL_7009_Grüngrau:         s = "Grüngrau"</v>
      </c>
      <c r="J12" s="238" t="str">
        <f t="shared" si="4"/>
        <v>Case RAL_7009_Grüngrau:         n = 7009</v>
      </c>
      <c r="K12" s="238" t="str">
        <f t="shared" si="5"/>
        <v>Case 7009: c = RAL_7009_Grüngrau</v>
      </c>
      <c r="L12" s="238" t="str">
        <f t="shared" si="6"/>
        <v>MColor.CIELab(48, -2, 4)</v>
      </c>
      <c r="M12" s="238" t="str">
        <f t="shared" si="7"/>
        <v>m_Arr(i) = TNamedRALColor("Grüngrau", 7009, RALClassic.RAL_7009_Grüngrau, MColor.CIELab(48, -2, 4)):                      i = i + 1</v>
      </c>
      <c r="N12" s="7">
        <v>48</v>
      </c>
      <c r="O12" s="7">
        <v>-2</v>
      </c>
      <c r="P12" s="7">
        <v>4</v>
      </c>
      <c r="Q12" s="8" t="s">
        <v>226</v>
      </c>
    </row>
    <row r="13" spans="1:17" ht="15" customHeight="1" x14ac:dyDescent="0.25">
      <c r="A13" s="3">
        <v>7010</v>
      </c>
      <c r="B13" s="5" t="s">
        <v>227</v>
      </c>
      <c r="C13" s="157"/>
      <c r="D13" t="s">
        <v>490</v>
      </c>
      <c r="E13" s="5" t="str">
        <f t="shared" si="0"/>
        <v>RAL_7010_Zeltgrau</v>
      </c>
      <c r="F13" s="237" t="s">
        <v>574</v>
      </c>
      <c r="G13" s="5" t="str">
        <f t="shared" si="1"/>
        <v>&amp;H565C58&amp;</v>
      </c>
      <c r="H13" s="5">
        <f t="shared" si="2"/>
        <v>17</v>
      </c>
      <c r="I13" s="238" t="str">
        <f t="shared" si="3"/>
        <v>Case RAL_7010_Zeltgrau:         s = "Zeltgrau"</v>
      </c>
      <c r="J13" s="238" t="str">
        <f t="shared" si="4"/>
        <v>Case RAL_7010_Zeltgrau:         n = 7010</v>
      </c>
      <c r="K13" s="238" t="str">
        <f t="shared" si="5"/>
        <v>Case 7010: c = RAL_7010_Zeltgrau</v>
      </c>
      <c r="L13" s="238" t="str">
        <f t="shared" si="6"/>
        <v>MColor.CIELab(46, -3, 3)</v>
      </c>
      <c r="M13" s="238" t="str">
        <f t="shared" si="7"/>
        <v>m_Arr(i) = TNamedRALColor("Zeltgrau", 7010, RALClassic.RAL_7010_Zeltgrau, MColor.CIELab(46, -3, 3)):                      i = i + 1</v>
      </c>
      <c r="N13" s="7">
        <v>46</v>
      </c>
      <c r="O13" s="7">
        <v>-3</v>
      </c>
      <c r="P13" s="7">
        <v>3</v>
      </c>
      <c r="Q13" s="5"/>
    </row>
    <row r="14" spans="1:17" ht="15" customHeight="1" x14ac:dyDescent="0.25">
      <c r="A14" s="3">
        <v>7011</v>
      </c>
      <c r="B14" s="5" t="s">
        <v>228</v>
      </c>
      <c r="C14" s="158"/>
      <c r="D14" t="s">
        <v>491</v>
      </c>
      <c r="E14" s="5" t="str">
        <f t="shared" si="0"/>
        <v>RAL_7011_Eisengrau</v>
      </c>
      <c r="F14" s="237" t="s">
        <v>574</v>
      </c>
      <c r="G14" s="5" t="str">
        <f t="shared" si="1"/>
        <v>&amp;H615D55&amp;</v>
      </c>
      <c r="H14" s="5">
        <f t="shared" si="2"/>
        <v>18</v>
      </c>
      <c r="I14" s="238" t="str">
        <f t="shared" si="3"/>
        <v>Case RAL_7011_Eisengrau:        s = "Eisengrau"</v>
      </c>
      <c r="J14" s="238" t="str">
        <f t="shared" si="4"/>
        <v>Case RAL_7011_Eisengrau:        n = 7011</v>
      </c>
      <c r="K14" s="238" t="str">
        <f t="shared" si="5"/>
        <v>Case 7011: c = RAL_7011_Eisengrau</v>
      </c>
      <c r="L14" s="238" t="str">
        <f t="shared" si="6"/>
        <v>MColor.CIELab(41.52, -1.68, -2.72)</v>
      </c>
      <c r="M14" s="238" t="str">
        <f t="shared" si="7"/>
        <v>m_Arr(i) = TNamedRALColor("Eisengrau", 7011, RALClassic.RAL_7011_Eisengrau, MColor.CIELab(41.52, -1.68, -2.72)):          i = i + 1</v>
      </c>
      <c r="N14" s="7">
        <v>41.52</v>
      </c>
      <c r="O14" s="7">
        <v>-1.68</v>
      </c>
      <c r="P14" s="7">
        <v>-2.72</v>
      </c>
      <c r="Q14" s="5"/>
    </row>
    <row r="15" spans="1:17" ht="15" customHeight="1" x14ac:dyDescent="0.25">
      <c r="A15" s="3">
        <v>7012</v>
      </c>
      <c r="B15" s="5" t="s">
        <v>229</v>
      </c>
      <c r="C15" s="159"/>
      <c r="D15" t="s">
        <v>492</v>
      </c>
      <c r="E15" s="5" t="str">
        <f t="shared" si="0"/>
        <v>RAL_7012_Basaltgrau</v>
      </c>
      <c r="F15" s="237" t="s">
        <v>574</v>
      </c>
      <c r="G15" s="5" t="str">
        <f t="shared" si="1"/>
        <v>&amp;H5E5D57&amp;</v>
      </c>
      <c r="H15" s="5">
        <f t="shared" si="2"/>
        <v>19</v>
      </c>
      <c r="I15" s="238" t="str">
        <f t="shared" si="3"/>
        <v>Case RAL_7012_Basaltgrau:       s = "Basaltgrau"</v>
      </c>
      <c r="J15" s="238" t="str">
        <f t="shared" si="4"/>
        <v>Case RAL_7012_Basaltgrau:       n = 7012</v>
      </c>
      <c r="K15" s="238" t="str">
        <f t="shared" si="5"/>
        <v>Case 7012: c = RAL_7012_Basaltgrau</v>
      </c>
      <c r="L15" s="238" t="str">
        <f t="shared" si="6"/>
        <v>MColor.CIELab(47, -2, -1)</v>
      </c>
      <c r="M15" s="238" t="str">
        <f t="shared" si="7"/>
        <v>m_Arr(i) = TNamedRALColor("Basaltgrau", 7012, RALClassic.RAL_7012_Basaltgrau, MColor.CIELab(47, -2, -1)):                 i = i + 1</v>
      </c>
      <c r="N15" s="7">
        <v>47</v>
      </c>
      <c r="O15" s="7">
        <v>-2</v>
      </c>
      <c r="P15" s="7">
        <v>-1</v>
      </c>
      <c r="Q15" s="5" t="s">
        <v>230</v>
      </c>
    </row>
    <row r="16" spans="1:17" ht="15" customHeight="1" x14ac:dyDescent="0.25">
      <c r="A16" s="3">
        <v>7013</v>
      </c>
      <c r="B16" s="5" t="s">
        <v>231</v>
      </c>
      <c r="C16" s="160"/>
      <c r="D16" t="s">
        <v>493</v>
      </c>
      <c r="E16" s="5" t="str">
        <f t="shared" si="0"/>
        <v>RAL_7013_Braungrau</v>
      </c>
      <c r="F16" s="237" t="s">
        <v>574</v>
      </c>
      <c r="G16" s="5" t="str">
        <f t="shared" si="1"/>
        <v>&amp;H445057&amp;</v>
      </c>
      <c r="H16" s="5">
        <f t="shared" si="2"/>
        <v>18</v>
      </c>
      <c r="I16" s="238" t="str">
        <f t="shared" si="3"/>
        <v>Case RAL_7013_Braungrau:        s = "Braungrau"</v>
      </c>
      <c r="J16" s="238" t="str">
        <f t="shared" si="4"/>
        <v>Case RAL_7013_Braungrau:        n = 7013</v>
      </c>
      <c r="K16" s="238" t="str">
        <f t="shared" si="5"/>
        <v>Case 7013: c = RAL_7013_Braungrau</v>
      </c>
      <c r="L16" s="238" t="str">
        <f t="shared" si="6"/>
        <v>MColor.CIELab(42, 1, 8)</v>
      </c>
      <c r="M16" s="238" t="str">
        <f t="shared" si="7"/>
        <v>m_Arr(i) = TNamedRALColor("Braungrau", 7013, RALClassic.RAL_7013_Braungrau, MColor.CIELab(42, 1, 8)):                     i = i + 1</v>
      </c>
      <c r="N16" s="7">
        <v>42</v>
      </c>
      <c r="O16" s="7">
        <v>1</v>
      </c>
      <c r="P16" s="7">
        <v>8</v>
      </c>
      <c r="Q16" s="5" t="s">
        <v>232</v>
      </c>
    </row>
    <row r="17" spans="1:17" ht="15" customHeight="1" x14ac:dyDescent="0.25">
      <c r="A17" s="3">
        <v>7015</v>
      </c>
      <c r="B17" s="5" t="s">
        <v>233</v>
      </c>
      <c r="C17" s="161"/>
      <c r="D17" t="s">
        <v>494</v>
      </c>
      <c r="E17" s="5" t="str">
        <f t="shared" si="0"/>
        <v>RAL_7015_Schiefergrau</v>
      </c>
      <c r="F17" s="237" t="s">
        <v>574</v>
      </c>
      <c r="G17" s="5" t="str">
        <f t="shared" si="1"/>
        <v>&amp;H5C5651&amp;</v>
      </c>
      <c r="H17" s="5">
        <f t="shared" si="2"/>
        <v>21</v>
      </c>
      <c r="I17" s="238" t="str">
        <f t="shared" si="3"/>
        <v>Case RAL_7015_Schiefergrau:     s = "Schiefergrau"</v>
      </c>
      <c r="J17" s="238" t="str">
        <f t="shared" si="4"/>
        <v>Case RAL_7015_Schiefergrau:     n = 7015</v>
      </c>
      <c r="K17" s="238" t="str">
        <f t="shared" si="5"/>
        <v>Case 7015: c = RAL_7015_Schiefergrau</v>
      </c>
      <c r="L17" s="238" t="str">
        <f t="shared" si="6"/>
        <v>MColor.CIELab(40.5, -0.25, -3.4)</v>
      </c>
      <c r="M17" s="238" t="str">
        <f t="shared" si="7"/>
        <v>m_Arr(i) = TNamedRALColor("Schiefergrau", 7015, RALClassic.RAL_7015_Schiefergrau, MColor.CIELab(40.5, -0.25, -3.4)):      i = i + 1</v>
      </c>
      <c r="N17" s="7">
        <v>40.5</v>
      </c>
      <c r="O17" s="7">
        <v>-0.25</v>
      </c>
      <c r="P17" s="7">
        <v>-3.4</v>
      </c>
      <c r="Q17" s="5"/>
    </row>
    <row r="18" spans="1:17" ht="15" customHeight="1" x14ac:dyDescent="0.25">
      <c r="A18" s="3">
        <v>7016</v>
      </c>
      <c r="B18" s="5" t="s">
        <v>234</v>
      </c>
      <c r="C18" s="162"/>
      <c r="D18" t="s">
        <v>495</v>
      </c>
      <c r="E18" s="5" t="str">
        <f t="shared" si="0"/>
        <v>RAL_7016_Anthrazitgrau</v>
      </c>
      <c r="F18" s="237" t="s">
        <v>574</v>
      </c>
      <c r="G18" s="5" t="str">
        <f t="shared" si="1"/>
        <v>&amp;H423E38&amp;</v>
      </c>
      <c r="H18" s="5">
        <f t="shared" si="2"/>
        <v>22</v>
      </c>
      <c r="I18" s="238" t="str">
        <f t="shared" si="3"/>
        <v>Case RAL_7016_Anthrazitgrau:    s = "Anthrazitgrau"</v>
      </c>
      <c r="J18" s="238" t="str">
        <f t="shared" si="4"/>
        <v>Case RAL_7016_Anthrazitgrau:    n = 7016</v>
      </c>
      <c r="K18" s="238" t="str">
        <f t="shared" si="5"/>
        <v>Case 7016: c = RAL_7016_Anthrazitgrau</v>
      </c>
      <c r="L18" s="238" t="str">
        <f t="shared" si="6"/>
        <v>MColor.CIELab(33, -2, -4)</v>
      </c>
      <c r="M18" s="238" t="str">
        <f t="shared" si="7"/>
        <v>m_Arr(i) = TNamedRALColor("Anthrazitgrau", 7016, RALClassic.RAL_7016_Anthrazitgrau, MColor.CIELab(33, -2, -4)):           i = i + 1</v>
      </c>
      <c r="N18" s="7">
        <v>33</v>
      </c>
      <c r="O18" s="7">
        <v>-2</v>
      </c>
      <c r="P18" s="7">
        <v>-4</v>
      </c>
      <c r="Q18" s="8" t="s">
        <v>235</v>
      </c>
    </row>
    <row r="19" spans="1:17" ht="15" customHeight="1" x14ac:dyDescent="0.25">
      <c r="A19" s="3">
        <v>7021</v>
      </c>
      <c r="B19" s="5" t="s">
        <v>236</v>
      </c>
      <c r="C19" s="163"/>
      <c r="D19" t="s">
        <v>496</v>
      </c>
      <c r="E19" s="5" t="str">
        <f t="shared" si="0"/>
        <v>RAL_7021_Schwarzgrau</v>
      </c>
      <c r="F19" s="237" t="s">
        <v>574</v>
      </c>
      <c r="G19" s="5" t="str">
        <f t="shared" si="1"/>
        <v>&amp;H34322F&amp;</v>
      </c>
      <c r="H19" s="5">
        <f t="shared" si="2"/>
        <v>20</v>
      </c>
      <c r="I19" s="238" t="str">
        <f t="shared" si="3"/>
        <v>Case RAL_7021_Schwarzgrau:      s = "Schwarzgrau"</v>
      </c>
      <c r="J19" s="238" t="str">
        <f t="shared" si="4"/>
        <v>Case RAL_7021_Schwarzgrau:      n = 7021</v>
      </c>
      <c r="K19" s="238" t="str">
        <f t="shared" si="5"/>
        <v>Case 7021: c = RAL_7021_Schwarzgrau</v>
      </c>
      <c r="L19" s="238" t="str">
        <f t="shared" si="6"/>
        <v>MColor.CIELab(27, -1, -2)</v>
      </c>
      <c r="M19" s="238" t="str">
        <f t="shared" si="7"/>
        <v>m_Arr(i) = TNamedRALColor("Schwarzgrau", 7021, RALClassic.RAL_7021_Schwarzgrau, MColor.CIELab(27, -1, -2)):               i = i + 1</v>
      </c>
      <c r="N19" s="7">
        <v>27</v>
      </c>
      <c r="O19" s="7">
        <v>-1</v>
      </c>
      <c r="P19" s="7">
        <v>-2</v>
      </c>
      <c r="Q19" s="8" t="s">
        <v>237</v>
      </c>
    </row>
    <row r="20" spans="1:17" ht="15" customHeight="1" x14ac:dyDescent="0.25">
      <c r="A20" s="3">
        <v>7022</v>
      </c>
      <c r="B20" s="5" t="s">
        <v>238</v>
      </c>
      <c r="C20" s="164"/>
      <c r="D20" t="s">
        <v>497</v>
      </c>
      <c r="E20" s="5" t="str">
        <f t="shared" si="0"/>
        <v>RAL_7022_Umbragrau</v>
      </c>
      <c r="F20" s="237" t="s">
        <v>574</v>
      </c>
      <c r="G20" s="5" t="str">
        <f t="shared" si="1"/>
        <v>&amp;H464D4B&amp;</v>
      </c>
      <c r="H20" s="5">
        <f t="shared" si="2"/>
        <v>18</v>
      </c>
      <c r="I20" s="238" t="str">
        <f t="shared" si="3"/>
        <v>Case RAL_7022_Umbragrau:        s = "Umbragrau"</v>
      </c>
      <c r="J20" s="238" t="str">
        <f t="shared" si="4"/>
        <v>Case RAL_7022_Umbragrau:        n = 7022</v>
      </c>
      <c r="K20" s="238" t="str">
        <f t="shared" si="5"/>
        <v>Case 7022: c = RAL_7022_Umbragrau</v>
      </c>
      <c r="L20" s="238" t="str">
        <f t="shared" si="6"/>
        <v>MColor.CIELab(37.75, -0.07, 2.23)</v>
      </c>
      <c r="M20" s="238" t="str">
        <f t="shared" si="7"/>
        <v>m_Arr(i) = TNamedRALColor("Umbragrau", 7022, RALClassic.RAL_7022_Umbragrau, MColor.CIELab(37.75, -0.07, 2.23)):           i = i + 1</v>
      </c>
      <c r="N20" s="7">
        <v>37.75</v>
      </c>
      <c r="O20" s="7">
        <v>-7.0000000000000007E-2</v>
      </c>
      <c r="P20" s="7">
        <v>2.23</v>
      </c>
      <c r="Q20" s="5"/>
    </row>
    <row r="21" spans="1:17" ht="15" customHeight="1" x14ac:dyDescent="0.25">
      <c r="A21" s="3">
        <v>7023</v>
      </c>
      <c r="B21" s="5" t="s">
        <v>239</v>
      </c>
      <c r="C21" s="165"/>
      <c r="D21" t="s">
        <v>498</v>
      </c>
      <c r="E21" s="5" t="str">
        <f t="shared" si="0"/>
        <v>RAL_7023_Betongrau</v>
      </c>
      <c r="F21" s="237" t="s">
        <v>574</v>
      </c>
      <c r="G21" s="5" t="str">
        <f t="shared" si="1"/>
        <v>&amp;H798481&amp;</v>
      </c>
      <c r="H21" s="5">
        <f t="shared" si="2"/>
        <v>18</v>
      </c>
      <c r="I21" s="238" t="str">
        <f t="shared" si="3"/>
        <v>Case RAL_7023_Betongrau:        s = "Betongrau"</v>
      </c>
      <c r="J21" s="238" t="str">
        <f t="shared" si="4"/>
        <v>Case RAL_7023_Betongrau:        n = 7023</v>
      </c>
      <c r="K21" s="238" t="str">
        <f t="shared" si="5"/>
        <v>Case 7023: c = RAL_7023_Betongrau</v>
      </c>
      <c r="L21" s="238" t="str">
        <f t="shared" si="6"/>
        <v>MColor.CIELab(55.6, -1.45, 4.52)</v>
      </c>
      <c r="M21" s="238" t="str">
        <f t="shared" si="7"/>
        <v>m_Arr(i) = TNamedRALColor("Betongrau", 7023, RALClassic.RAL_7023_Betongrau, MColor.CIELab(55.6, -1.45, 4.52)):            i = i + 1</v>
      </c>
      <c r="N21" s="7">
        <v>55.6</v>
      </c>
      <c r="O21" s="7">
        <v>-1.45</v>
      </c>
      <c r="P21" s="7">
        <v>4.5199999999999996</v>
      </c>
      <c r="Q21" s="5"/>
    </row>
    <row r="22" spans="1:17" ht="15" customHeight="1" x14ac:dyDescent="0.25">
      <c r="A22" s="3">
        <v>7024</v>
      </c>
      <c r="B22" s="5" t="s">
        <v>240</v>
      </c>
      <c r="C22" s="166"/>
      <c r="D22" t="s">
        <v>499</v>
      </c>
      <c r="E22" s="5" t="str">
        <f t="shared" si="0"/>
        <v>RAL_7024_Graphitgrau</v>
      </c>
      <c r="F22" s="237" t="s">
        <v>574</v>
      </c>
      <c r="G22" s="5" t="str">
        <f t="shared" si="1"/>
        <v>&amp;H504A47&amp;</v>
      </c>
      <c r="H22" s="5">
        <f t="shared" si="2"/>
        <v>20</v>
      </c>
      <c r="I22" s="238" t="str">
        <f t="shared" si="3"/>
        <v>Case RAL_7024_Graphitgrau:      s = "Graphitgrau"</v>
      </c>
      <c r="J22" s="238" t="str">
        <f t="shared" si="4"/>
        <v>Case RAL_7024_Graphitgrau:      n = 7024</v>
      </c>
      <c r="K22" s="238" t="str">
        <f t="shared" si="5"/>
        <v>Case 7024: c = RAL_7024_Graphitgrau</v>
      </c>
      <c r="L22" s="238" t="str">
        <f t="shared" si="6"/>
        <v>MColor.CIELab(36.97, -0.13, -3.32)</v>
      </c>
      <c r="M22" s="238" t="str">
        <f t="shared" si="7"/>
        <v>m_Arr(i) = TNamedRALColor("Graphitgrau", 7024, RALClassic.RAL_7024_Graphitgrau, MColor.CIELab(36.97, -0.13, -3.32)):      i = i + 1</v>
      </c>
      <c r="N22" s="7">
        <v>36.97</v>
      </c>
      <c r="O22" s="7">
        <v>-0.13</v>
      </c>
      <c r="P22" s="5">
        <v>-3.32</v>
      </c>
      <c r="Q22" s="5"/>
    </row>
    <row r="23" spans="1:17" ht="15" customHeight="1" x14ac:dyDescent="0.25">
      <c r="A23" s="3">
        <v>7026</v>
      </c>
      <c r="B23" s="5" t="s">
        <v>241</v>
      </c>
      <c r="C23" s="167"/>
      <c r="D23" t="s">
        <v>500</v>
      </c>
      <c r="E23" s="5" t="str">
        <f t="shared" si="0"/>
        <v>RAL_7026_Granitgrau</v>
      </c>
      <c r="F23" s="237" t="s">
        <v>574</v>
      </c>
      <c r="G23" s="5" t="str">
        <f t="shared" si="1"/>
        <v>&amp;H444237&amp;</v>
      </c>
      <c r="H23" s="5">
        <f t="shared" si="2"/>
        <v>19</v>
      </c>
      <c r="I23" s="238" t="str">
        <f t="shared" si="3"/>
        <v>Case RAL_7026_Granitgrau:       s = "Granitgrau"</v>
      </c>
      <c r="J23" s="238" t="str">
        <f t="shared" si="4"/>
        <v>Case RAL_7026_Granitgrau:       n = 7026</v>
      </c>
      <c r="K23" s="238" t="str">
        <f t="shared" si="5"/>
        <v>Case 7026: c = RAL_7026_Granitgrau</v>
      </c>
      <c r="L23" s="238" t="str">
        <f t="shared" si="6"/>
        <v>MColor.CIELab(34.71, -3.02, -2.48)</v>
      </c>
      <c r="M23" s="238" t="str">
        <f t="shared" si="7"/>
        <v>m_Arr(i) = TNamedRALColor("Granitgrau", 7026, RALClassic.RAL_7026_Granitgrau, MColor.CIELab(34.71, -3.02, -2.48)):        i = i + 1</v>
      </c>
      <c r="N23" s="7">
        <v>34.71</v>
      </c>
      <c r="O23" s="7">
        <v>-3.02</v>
      </c>
      <c r="P23" s="5">
        <v>-2.48</v>
      </c>
      <c r="Q23" s="5"/>
    </row>
    <row r="24" spans="1:17" ht="15" customHeight="1" x14ac:dyDescent="0.25">
      <c r="A24" s="3">
        <v>7030</v>
      </c>
      <c r="B24" s="5" t="s">
        <v>242</v>
      </c>
      <c r="C24" s="168"/>
      <c r="D24" t="s">
        <v>501</v>
      </c>
      <c r="E24" s="5" t="str">
        <f t="shared" si="0"/>
        <v>RAL_7030_Steingrau</v>
      </c>
      <c r="F24" s="237" t="s">
        <v>574</v>
      </c>
      <c r="G24" s="5" t="str">
        <f t="shared" si="1"/>
        <v>&amp;H889393&amp;</v>
      </c>
      <c r="H24" s="5">
        <f t="shared" si="2"/>
        <v>18</v>
      </c>
      <c r="I24" s="238" t="str">
        <f t="shared" si="3"/>
        <v>Case RAL_7030_Steingrau:        s = "Steingrau"</v>
      </c>
      <c r="J24" s="238" t="str">
        <f t="shared" si="4"/>
        <v>Case RAL_7030_Steingrau:        n = 7030</v>
      </c>
      <c r="K24" s="238" t="str">
        <f t="shared" si="5"/>
        <v>Case 7030: c = RAL_7030_Steingrau</v>
      </c>
      <c r="L24" s="238" t="str">
        <f t="shared" si="6"/>
        <v>MColor.CIELab(61.31, -0.26, 4.53)</v>
      </c>
      <c r="M24" s="238" t="str">
        <f t="shared" si="7"/>
        <v>m_Arr(i) = TNamedRALColor("Steingrau", 7030, RALClassic.RAL_7030_Steingrau, MColor.CIELab(61.31, -0.26, 4.53)):           i = i + 1</v>
      </c>
      <c r="N24" s="7">
        <v>61.31</v>
      </c>
      <c r="O24" s="7">
        <v>-0.26</v>
      </c>
      <c r="P24" s="7">
        <v>4.53</v>
      </c>
      <c r="Q24" s="5"/>
    </row>
    <row r="25" spans="1:17" ht="15" customHeight="1" x14ac:dyDescent="0.25">
      <c r="A25" s="3">
        <v>7031</v>
      </c>
      <c r="B25" s="5" t="s">
        <v>243</v>
      </c>
      <c r="C25" s="169"/>
      <c r="D25" t="s">
        <v>502</v>
      </c>
      <c r="E25" s="5" t="str">
        <f t="shared" si="0"/>
        <v>RAL_7031_Blaugrau</v>
      </c>
      <c r="F25" s="237" t="s">
        <v>574</v>
      </c>
      <c r="G25" s="5" t="str">
        <f t="shared" si="1"/>
        <v>&amp;H6D685B&amp;</v>
      </c>
      <c r="H25" s="5">
        <f t="shared" si="2"/>
        <v>17</v>
      </c>
      <c r="I25" s="238" t="str">
        <f t="shared" si="3"/>
        <v>Case RAL_7031_Blaugrau:         s = "Blaugrau"</v>
      </c>
      <c r="J25" s="238" t="str">
        <f t="shared" si="4"/>
        <v>Case RAL_7031_Blaugrau:         n = 7031</v>
      </c>
      <c r="K25" s="238" t="str">
        <f t="shared" si="5"/>
        <v>Case 7031: c = RAL_7031_Blaugrau</v>
      </c>
      <c r="L25" s="238" t="str">
        <f t="shared" si="6"/>
        <v>MColor.CIELab(51, -4, -4)</v>
      </c>
      <c r="M25" s="238" t="str">
        <f t="shared" si="7"/>
        <v>m_Arr(i) = TNamedRALColor("Blaugrau", 7031, RALClassic.RAL_7031_Blaugrau, MColor.CIELab(51, -4, -4)):                     i = i + 1</v>
      </c>
      <c r="N25" s="7">
        <v>51</v>
      </c>
      <c r="O25" s="7">
        <v>-4</v>
      </c>
      <c r="P25" s="7">
        <v>-4</v>
      </c>
      <c r="Q25" s="8" t="s">
        <v>244</v>
      </c>
    </row>
    <row r="26" spans="1:17" ht="15" customHeight="1" x14ac:dyDescent="0.25">
      <c r="A26" s="3">
        <v>7032</v>
      </c>
      <c r="B26" s="5" t="s">
        <v>245</v>
      </c>
      <c r="C26" s="170"/>
      <c r="D26" t="s">
        <v>503</v>
      </c>
      <c r="E26" s="5" t="str">
        <f t="shared" si="0"/>
        <v>RAL_7032_Kieselgrau</v>
      </c>
      <c r="F26" s="237" t="s">
        <v>574</v>
      </c>
      <c r="G26" s="5" t="str">
        <f t="shared" si="1"/>
        <v>&amp;HA1B0B5&amp;</v>
      </c>
      <c r="H26" s="5">
        <f t="shared" si="2"/>
        <v>19</v>
      </c>
      <c r="I26" s="238" t="str">
        <f t="shared" si="3"/>
        <v>Case RAL_7032_Kieselgrau:       s = "Kieselgrau"</v>
      </c>
      <c r="J26" s="238" t="str">
        <f t="shared" si="4"/>
        <v>Case RAL_7032_Kieselgrau:       n = 7032</v>
      </c>
      <c r="K26" s="238" t="str">
        <f t="shared" si="5"/>
        <v>Case 7032: c = RAL_7032_Kieselgrau</v>
      </c>
      <c r="L26" s="238" t="str">
        <f t="shared" si="6"/>
        <v>MColor.CIELab(77, 0, 7)</v>
      </c>
      <c r="M26" s="238" t="str">
        <f t="shared" si="7"/>
        <v>m_Arr(i) = TNamedRALColor("Kieselgrau", 7032, RALClassic.RAL_7032_Kieselgrau, MColor.CIELab(77, 0, 7)):                   i = i + 1</v>
      </c>
      <c r="N26" s="7">
        <v>77</v>
      </c>
      <c r="O26" s="7">
        <v>0</v>
      </c>
      <c r="P26" s="7">
        <v>7</v>
      </c>
      <c r="Q26" s="5" t="s">
        <v>246</v>
      </c>
    </row>
    <row r="27" spans="1:17" ht="15" customHeight="1" x14ac:dyDescent="0.25">
      <c r="A27" s="3">
        <v>7033</v>
      </c>
      <c r="B27" s="5" t="s">
        <v>247</v>
      </c>
      <c r="C27" s="171"/>
      <c r="D27" t="s">
        <v>504</v>
      </c>
      <c r="E27" s="5" t="str">
        <f t="shared" si="0"/>
        <v>RAL_7033_Zementgrau</v>
      </c>
      <c r="F27" s="237" t="s">
        <v>574</v>
      </c>
      <c r="G27" s="5" t="str">
        <f t="shared" si="1"/>
        <v>&amp;H798981&amp;</v>
      </c>
      <c r="H27" s="5">
        <f t="shared" si="2"/>
        <v>19</v>
      </c>
      <c r="I27" s="238" t="str">
        <f t="shared" si="3"/>
        <v>Case RAL_7033_Zementgrau:       s = "Zementgrau"</v>
      </c>
      <c r="J27" s="238" t="str">
        <f t="shared" si="4"/>
        <v>Case RAL_7033_Zementgrau:       n = 7033</v>
      </c>
      <c r="K27" s="238" t="str">
        <f t="shared" si="5"/>
        <v>Case 7033: c = RAL_7033_Zementgrau</v>
      </c>
      <c r="L27" s="238" t="str">
        <f t="shared" si="6"/>
        <v>MColor.CIELab(56.78, -3.36, 6.32)</v>
      </c>
      <c r="M27" s="238" t="str">
        <f t="shared" si="7"/>
        <v>m_Arr(i) = TNamedRALColor("Zementgrau", 7033, RALClassic.RAL_7033_Zementgrau, MColor.CIELab(56.78, -3.36, 6.32)):         i = i + 1</v>
      </c>
      <c r="N27" s="7">
        <v>56.78</v>
      </c>
      <c r="O27" s="7">
        <v>-3.36</v>
      </c>
      <c r="P27" s="7">
        <v>6.32</v>
      </c>
      <c r="Q27" s="5"/>
    </row>
    <row r="28" spans="1:17" ht="15" customHeight="1" x14ac:dyDescent="0.25">
      <c r="A28" s="3">
        <v>7034</v>
      </c>
      <c r="B28" s="5" t="s">
        <v>248</v>
      </c>
      <c r="C28" s="172"/>
      <c r="D28" t="s">
        <v>505</v>
      </c>
      <c r="E28" s="5" t="str">
        <f t="shared" si="0"/>
        <v>RAL_7034_Gelbgrau</v>
      </c>
      <c r="F28" s="237" t="s">
        <v>574</v>
      </c>
      <c r="G28" s="5" t="str">
        <f t="shared" si="1"/>
        <v>&amp;H6F8891&amp;</v>
      </c>
      <c r="H28" s="5">
        <f t="shared" si="2"/>
        <v>17</v>
      </c>
      <c r="I28" s="238" t="str">
        <f t="shared" si="3"/>
        <v>Case RAL_7034_Gelbgrau:         s = "Gelbgrau"</v>
      </c>
      <c r="J28" s="238" t="str">
        <f t="shared" si="4"/>
        <v>Case RAL_7034_Gelbgrau:         n = 7034</v>
      </c>
      <c r="K28" s="238" t="str">
        <f t="shared" si="5"/>
        <v>Case 7034: c = RAL_7034_Gelbgrau</v>
      </c>
      <c r="L28" s="238" t="str">
        <f t="shared" si="6"/>
        <v>MColor.CIELab(56.86, 0.03, 14.83)</v>
      </c>
      <c r="M28" s="238" t="str">
        <f t="shared" si="7"/>
        <v>m_Arr(i) = TNamedRALColor("Gelbgrau", 7034, RALClassic.RAL_7034_Gelbgrau, MColor.CIELab(56.86, 0.03, 14.83)):             i = i + 1</v>
      </c>
      <c r="N28" s="7">
        <v>56.86</v>
      </c>
      <c r="O28" s="7">
        <v>0.03</v>
      </c>
      <c r="P28" s="7">
        <v>14.83</v>
      </c>
      <c r="Q28" s="5"/>
    </row>
    <row r="29" spans="1:17" ht="15" customHeight="1" x14ac:dyDescent="0.25">
      <c r="A29" s="3">
        <v>7035</v>
      </c>
      <c r="B29" s="5" t="s">
        <v>249</v>
      </c>
      <c r="C29" s="173"/>
      <c r="D29" t="s">
        <v>506</v>
      </c>
      <c r="E29" s="5" t="str">
        <f t="shared" si="0"/>
        <v>RAL_7035_Lichtgrau</v>
      </c>
      <c r="F29" s="237" t="s">
        <v>574</v>
      </c>
      <c r="G29" s="5" t="str">
        <f t="shared" si="1"/>
        <v>&amp;HCCD0CB&amp;</v>
      </c>
      <c r="H29" s="5">
        <f t="shared" si="2"/>
        <v>18</v>
      </c>
      <c r="I29" s="238" t="str">
        <f t="shared" si="3"/>
        <v>Case RAL_7035_Lichtgrau:        s = "Lichtgrau"</v>
      </c>
      <c r="J29" s="238" t="str">
        <f t="shared" si="4"/>
        <v>Case RAL_7035_Lichtgrau:        n = 7035</v>
      </c>
      <c r="K29" s="238" t="str">
        <f t="shared" si="5"/>
        <v>Case 7035: c = RAL_7035_Lichtgrau</v>
      </c>
      <c r="L29" s="238" t="str">
        <f t="shared" si="6"/>
        <v>MColor.CIELab(81.29, -1.24, 0.79)</v>
      </c>
      <c r="M29" s="238" t="str">
        <f t="shared" si="7"/>
        <v>m_Arr(i) = TNamedRALColor("Lichtgrau", 7035, RALClassic.RAL_7035_Lichtgrau, MColor.CIELab(81.29, -1.24, 0.79)):           i = i + 1</v>
      </c>
      <c r="N29" s="7">
        <v>81.290000000000006</v>
      </c>
      <c r="O29" s="7">
        <v>-1.24</v>
      </c>
      <c r="P29" s="7">
        <v>0.79</v>
      </c>
      <c r="Q29" s="5" t="s">
        <v>250</v>
      </c>
    </row>
    <row r="30" spans="1:17" ht="15" customHeight="1" x14ac:dyDescent="0.25">
      <c r="A30" s="3">
        <v>7036</v>
      </c>
      <c r="B30" s="5" t="s">
        <v>251</v>
      </c>
      <c r="C30" s="174"/>
      <c r="D30" t="s">
        <v>507</v>
      </c>
      <c r="E30" s="5" t="str">
        <f t="shared" si="0"/>
        <v>RAL_7036_Platingrau</v>
      </c>
      <c r="F30" s="237" t="s">
        <v>574</v>
      </c>
      <c r="G30" s="5" t="str">
        <f t="shared" si="1"/>
        <v>&amp;H97969A&amp;</v>
      </c>
      <c r="H30" s="5">
        <f t="shared" si="2"/>
        <v>19</v>
      </c>
      <c r="I30" s="238" t="str">
        <f t="shared" si="3"/>
        <v>Case RAL_7036_Platingrau:       s = "Platingrau"</v>
      </c>
      <c r="J30" s="238" t="str">
        <f t="shared" si="4"/>
        <v>Case RAL_7036_Platingrau:       n = 7036</v>
      </c>
      <c r="K30" s="238" t="str">
        <f t="shared" si="5"/>
        <v>Case 7036: c = RAL_7036_Platingrau</v>
      </c>
      <c r="L30" s="238" t="str">
        <f t="shared" si="6"/>
        <v>MColor.CIELab(63.49, 1.27, 0.78)</v>
      </c>
      <c r="M30" s="238" t="str">
        <f t="shared" si="7"/>
        <v>m_Arr(i) = TNamedRALColor("Platingrau", 7036, RALClassic.RAL_7036_Platingrau, MColor.CIELab(63.49, 1.27, 0.78)):          i = i + 1</v>
      </c>
      <c r="N30" s="7">
        <v>63.49</v>
      </c>
      <c r="O30" s="7">
        <v>1.27</v>
      </c>
      <c r="P30" s="7">
        <v>0.78</v>
      </c>
      <c r="Q30" s="5"/>
    </row>
    <row r="31" spans="1:17" ht="15" customHeight="1" x14ac:dyDescent="0.25">
      <c r="A31" s="3">
        <v>7037</v>
      </c>
      <c r="B31" s="5" t="s">
        <v>252</v>
      </c>
      <c r="C31" s="175"/>
      <c r="D31" t="s">
        <v>508</v>
      </c>
      <c r="E31" s="5" t="str">
        <f t="shared" si="0"/>
        <v>RAL_7037_Staubgrau</v>
      </c>
      <c r="F31" s="237" t="s">
        <v>574</v>
      </c>
      <c r="G31" s="5" t="str">
        <f t="shared" si="1"/>
        <v>&amp;H7A7B7A&amp;</v>
      </c>
      <c r="H31" s="5">
        <f t="shared" si="2"/>
        <v>18</v>
      </c>
      <c r="I31" s="238" t="str">
        <f t="shared" si="3"/>
        <v>Case RAL_7037_Staubgrau:        s = "Staubgrau"</v>
      </c>
      <c r="J31" s="238" t="str">
        <f t="shared" si="4"/>
        <v>Case RAL_7037_Staubgrau:        n = 7037</v>
      </c>
      <c r="K31" s="238" t="str">
        <f t="shared" si="5"/>
        <v>Case 7037: c = RAL_7037_Staubgrau</v>
      </c>
      <c r="L31" s="238" t="str">
        <f t="shared" si="6"/>
        <v>MColor.CIELab(59, 0, 0)</v>
      </c>
      <c r="M31" s="238" t="str">
        <f t="shared" si="7"/>
        <v>m_Arr(i) = TNamedRALColor("Staubgrau", 7037, RALClassic.RAL_7037_Staubgrau, MColor.CIELab(59, 0, 0)):                     i = i + 1</v>
      </c>
      <c r="N31" s="7">
        <v>59</v>
      </c>
      <c r="O31" s="7">
        <v>0</v>
      </c>
      <c r="P31" s="7">
        <v>0</v>
      </c>
      <c r="Q31" s="5" t="s">
        <v>253</v>
      </c>
    </row>
    <row r="32" spans="1:17" ht="15" customHeight="1" x14ac:dyDescent="0.25">
      <c r="A32" s="3">
        <v>7038</v>
      </c>
      <c r="B32" s="5" t="s">
        <v>254</v>
      </c>
      <c r="C32" s="176"/>
      <c r="D32" t="s">
        <v>509</v>
      </c>
      <c r="E32" s="5" t="str">
        <f t="shared" si="0"/>
        <v>RAL_7038_Achatgrau</v>
      </c>
      <c r="F32" s="237" t="s">
        <v>574</v>
      </c>
      <c r="G32" s="5" t="str">
        <f t="shared" si="1"/>
        <v>&amp;HB0B8B4&amp;</v>
      </c>
      <c r="H32" s="5">
        <f t="shared" si="2"/>
        <v>18</v>
      </c>
      <c r="I32" s="238" t="str">
        <f t="shared" si="3"/>
        <v>Case RAL_7038_Achatgrau:        s = "Achatgrau"</v>
      </c>
      <c r="J32" s="238" t="str">
        <f t="shared" si="4"/>
        <v>Case RAL_7038_Achatgrau:        n = 7038</v>
      </c>
      <c r="K32" s="238" t="str">
        <f t="shared" si="5"/>
        <v>Case 7038: c = RAL_7038_Achatgrau</v>
      </c>
      <c r="L32" s="238" t="str">
        <f t="shared" si="6"/>
        <v>MColor.CIELab(72.97, -1.5, 2.97)</v>
      </c>
      <c r="M32" s="238" t="str">
        <f t="shared" si="7"/>
        <v>m_Arr(i) = TNamedRALColor("Achatgrau", 7038, RALClassic.RAL_7038_Achatgrau, MColor.CIELab(72.97, -1.5, 2.97)):            i = i + 1</v>
      </c>
      <c r="N32" s="7">
        <v>72.97</v>
      </c>
      <c r="O32" s="7">
        <v>-1.5</v>
      </c>
      <c r="P32" s="7">
        <v>2.97</v>
      </c>
      <c r="Q32" s="5"/>
    </row>
    <row r="33" spans="1:17" ht="15" customHeight="1" x14ac:dyDescent="0.25">
      <c r="A33" s="3">
        <v>7039</v>
      </c>
      <c r="B33" s="5" t="s">
        <v>255</v>
      </c>
      <c r="C33" s="177"/>
      <c r="D33" t="s">
        <v>510</v>
      </c>
      <c r="E33" s="5" t="str">
        <f t="shared" si="0"/>
        <v>RAL_7039_Quarzgrau</v>
      </c>
      <c r="F33" s="237" t="s">
        <v>574</v>
      </c>
      <c r="G33" s="5" t="str">
        <f t="shared" si="1"/>
        <v>&amp;H5E686B&amp;</v>
      </c>
      <c r="H33" s="5">
        <f t="shared" si="2"/>
        <v>18</v>
      </c>
      <c r="I33" s="238" t="str">
        <f t="shared" si="3"/>
        <v>Case RAL_7039_Quarzgrau:        s = "Quarzgrau"</v>
      </c>
      <c r="J33" s="238" t="str">
        <f t="shared" si="4"/>
        <v>Case RAL_7039_Quarzgrau:        n = 7039</v>
      </c>
      <c r="K33" s="238" t="str">
        <f t="shared" si="5"/>
        <v>Case 7039: c = RAL_7039_Quarzgrau</v>
      </c>
      <c r="L33" s="238" t="str">
        <f t="shared" si="6"/>
        <v>MColor.CIELab(43.5, 0.37, 5.56)</v>
      </c>
      <c r="M33" s="238" t="str">
        <f t="shared" si="7"/>
        <v>m_Arr(i) = TNamedRALColor("Quarzgrau", 7039, RALClassic.RAL_7039_Quarzgrau, MColor.CIELab(43.5, 0.37, 5.56)):             i = i + 1</v>
      </c>
      <c r="N33" s="7">
        <v>43.5</v>
      </c>
      <c r="O33" s="7">
        <v>0.37</v>
      </c>
      <c r="P33" s="7">
        <v>5.56</v>
      </c>
      <c r="Q33" s="5"/>
    </row>
    <row r="34" spans="1:17" ht="15" customHeight="1" x14ac:dyDescent="0.25">
      <c r="A34" s="3">
        <v>7040</v>
      </c>
      <c r="B34" s="5" t="s">
        <v>256</v>
      </c>
      <c r="C34" s="178"/>
      <c r="D34" t="s">
        <v>511</v>
      </c>
      <c r="E34" s="5" t="str">
        <f t="shared" si="0"/>
        <v>RAL_7040_Fenstergrau</v>
      </c>
      <c r="F34" s="237" t="s">
        <v>574</v>
      </c>
      <c r="G34" s="5" t="str">
        <f t="shared" si="1"/>
        <v>&amp;HA6A39D&amp;</v>
      </c>
      <c r="H34" s="5">
        <f t="shared" si="2"/>
        <v>20</v>
      </c>
      <c r="I34" s="238" t="str">
        <f t="shared" si="3"/>
        <v>Case RAL_7040_Fenstergrau:      s = "Fenstergrau"</v>
      </c>
      <c r="J34" s="238" t="str">
        <f t="shared" si="4"/>
        <v>Case RAL_7040_Fenstergrau:      n = 7040</v>
      </c>
      <c r="K34" s="238" t="str">
        <f t="shared" si="5"/>
        <v>Case 7040: c = RAL_7040_Fenstergrau</v>
      </c>
      <c r="L34" s="238" t="str">
        <f t="shared" si="6"/>
        <v>MColor.CIELab(66.63, -1.17, -2.82)</v>
      </c>
      <c r="M34" s="238" t="str">
        <f t="shared" si="7"/>
        <v>m_Arr(i) = TNamedRALColor("Fenstergrau", 7040, RALClassic.RAL_7040_Fenstergrau, MColor.CIELab(66.63, -1.17, -2.82)):      i = i + 1</v>
      </c>
      <c r="N34" s="7">
        <v>66.63</v>
      </c>
      <c r="O34" s="7">
        <v>-1.17</v>
      </c>
      <c r="P34" s="7">
        <v>-2.82</v>
      </c>
      <c r="Q34" s="5"/>
    </row>
    <row r="35" spans="1:17" ht="15" customHeight="1" x14ac:dyDescent="0.25">
      <c r="A35" s="3">
        <v>7042</v>
      </c>
      <c r="B35" s="1" t="s">
        <v>575</v>
      </c>
      <c r="C35" s="179"/>
      <c r="D35" t="s">
        <v>512</v>
      </c>
      <c r="E35" s="5" t="str">
        <f t="shared" si="0"/>
        <v>RAL_7042_VerkehrsgrauA</v>
      </c>
      <c r="F35" s="237" t="s">
        <v>574</v>
      </c>
      <c r="G35" s="5" t="str">
        <f t="shared" si="1"/>
        <v>&amp;H95968F&amp;</v>
      </c>
      <c r="H35" s="5">
        <f t="shared" si="2"/>
        <v>22</v>
      </c>
      <c r="I35" s="238" t="str">
        <f t="shared" si="3"/>
        <v>Case RAL_7042_VerkehrsgrauA:    s = "VerkehrsgrauA"</v>
      </c>
      <c r="J35" s="238" t="str">
        <f t="shared" si="4"/>
        <v>Case RAL_7042_VerkehrsgrauA:    n = 7042</v>
      </c>
      <c r="K35" s="238" t="str">
        <f t="shared" si="5"/>
        <v>Case 7042: c = RAL_7042_VerkehrsgrauA</v>
      </c>
      <c r="L35" s="238" t="str">
        <f t="shared" si="6"/>
        <v>MColor.CIELab(62.58, -1.51, -0.21)</v>
      </c>
      <c r="M35" s="238" t="str">
        <f t="shared" si="7"/>
        <v>m_Arr(i) = TNamedRALColor("VerkehrsgrauA", 7042, RALClassic.RAL_7042_VerkehrsgrauA, MColor.CIELab(62.58, -1.51, -0.21)):  i = i + 1</v>
      </c>
      <c r="N35" s="7">
        <v>62.58</v>
      </c>
      <c r="O35" s="7">
        <v>-1.51</v>
      </c>
      <c r="P35" s="7">
        <v>-0.21</v>
      </c>
      <c r="Q35" s="5"/>
    </row>
    <row r="36" spans="1:17" ht="15" customHeight="1" x14ac:dyDescent="0.25">
      <c r="A36" s="3">
        <v>7043</v>
      </c>
      <c r="B36" s="5" t="s">
        <v>576</v>
      </c>
      <c r="C36" s="180"/>
      <c r="D36" t="s">
        <v>513</v>
      </c>
      <c r="E36" s="5" t="str">
        <f t="shared" si="0"/>
        <v>RAL_7043_VerkehrsgrauB</v>
      </c>
      <c r="F36" s="237" t="s">
        <v>574</v>
      </c>
      <c r="G36" s="5" t="str">
        <f t="shared" si="1"/>
        <v>&amp;H51544E&amp;</v>
      </c>
      <c r="H36" s="5">
        <f t="shared" si="2"/>
        <v>22</v>
      </c>
      <c r="I36" s="238" t="str">
        <f t="shared" si="3"/>
        <v>Case RAL_7043_VerkehrsgrauB:    s = "VerkehrsgrauB"</v>
      </c>
      <c r="J36" s="238" t="str">
        <f t="shared" si="4"/>
        <v>Case RAL_7043_VerkehrsgrauB:    n = 7043</v>
      </c>
      <c r="K36" s="238" t="str">
        <f t="shared" si="5"/>
        <v>Case 7043: c = RAL_7043_VerkehrsgrauB</v>
      </c>
      <c r="L36" s="238" t="str">
        <f t="shared" si="6"/>
        <v>MColor.CIELab(40.23, -1.28, 0)</v>
      </c>
      <c r="M36" s="238" t="str">
        <f t="shared" si="7"/>
        <v>m_Arr(i) = TNamedRALColor("VerkehrsgrauB", 7043, RALClassic.RAL_7043_VerkehrsgrauB, MColor.CIELab(40.23, -1.28, 0)):      i = i + 1</v>
      </c>
      <c r="N36" s="7">
        <v>40.229999999999997</v>
      </c>
      <c r="O36" s="7">
        <v>-1.28</v>
      </c>
      <c r="P36" s="7">
        <v>0</v>
      </c>
      <c r="Q36" s="5"/>
    </row>
    <row r="37" spans="1:17" ht="15" customHeight="1" x14ac:dyDescent="0.25">
      <c r="A37" s="3">
        <v>7044</v>
      </c>
      <c r="B37" s="5" t="s">
        <v>257</v>
      </c>
      <c r="C37" s="181"/>
      <c r="D37" t="s">
        <v>514</v>
      </c>
      <c r="E37" s="5" t="str">
        <f t="shared" si="0"/>
        <v>RAL_7044_Seidengrau</v>
      </c>
      <c r="F37" s="237" t="s">
        <v>574</v>
      </c>
      <c r="G37" s="5" t="str">
        <f t="shared" si="1"/>
        <v>&amp;HB2BDBD&amp;</v>
      </c>
      <c r="H37" s="5">
        <f t="shared" si="2"/>
        <v>19</v>
      </c>
      <c r="I37" s="238" t="str">
        <f t="shared" si="3"/>
        <v>Case RAL_7044_Seidengrau:       s = "Seidengrau"</v>
      </c>
      <c r="J37" s="238" t="str">
        <f t="shared" si="4"/>
        <v>Case RAL_7044_Seidengrau:       n = 7044</v>
      </c>
      <c r="K37" s="238" t="str">
        <f t="shared" si="5"/>
        <v>Case 7044: c = RAL_7044_Seidengrau</v>
      </c>
      <c r="L37" s="238" t="str">
        <f t="shared" si="6"/>
        <v>MColor.CIELab(74.66, -0.04, 5.08)</v>
      </c>
      <c r="M37" s="238" t="str">
        <f t="shared" si="7"/>
        <v>m_Arr(i) = TNamedRALColor("Seidengrau", 7044, RALClassic.RAL_7044_Seidengrau, MColor.CIELab(74.66, -0.04, 5.08)):         i = i + 1</v>
      </c>
      <c r="N37" s="7">
        <v>74.66</v>
      </c>
      <c r="O37" s="7">
        <v>-0.04</v>
      </c>
      <c r="P37" s="7">
        <v>5.08</v>
      </c>
      <c r="Q37" s="5"/>
    </row>
    <row r="38" spans="1:17" ht="15" customHeight="1" x14ac:dyDescent="0.25">
      <c r="A38" s="3">
        <v>7045</v>
      </c>
      <c r="B38" s="5" t="s">
        <v>577</v>
      </c>
      <c r="C38" s="182"/>
      <c r="D38" t="s">
        <v>515</v>
      </c>
      <c r="E38" s="5" t="str">
        <f t="shared" si="0"/>
        <v>RAL_7045_Telegrau1</v>
      </c>
      <c r="F38" s="237" t="s">
        <v>574</v>
      </c>
      <c r="G38" s="5" t="str">
        <f t="shared" si="1"/>
        <v>&amp;H94918D&amp;</v>
      </c>
      <c r="H38" s="5">
        <f t="shared" si="2"/>
        <v>18</v>
      </c>
      <c r="I38" s="238" t="str">
        <f t="shared" si="3"/>
        <v>Case RAL_7045_Telegrau1:        s = "Telegrau1"</v>
      </c>
      <c r="J38" s="238" t="str">
        <f t="shared" si="4"/>
        <v>Case RAL_7045_Telegrau1:        n = 7045</v>
      </c>
      <c r="K38" s="238" t="str">
        <f t="shared" si="5"/>
        <v>Case 7045: c = RAL_7045_Telegrau1</v>
      </c>
      <c r="L38" s="238" t="str">
        <f t="shared" si="6"/>
        <v>MColor.CIELab(60.35, -1.43, -1.84)</v>
      </c>
      <c r="M38" s="238" t="str">
        <f t="shared" si="7"/>
        <v>m_Arr(i) = TNamedRALColor("Telegrau1", 7045, RALClassic.RAL_7045_Telegrau1, MColor.CIELab(60.35, -1.43, -1.84)):          i = i + 1</v>
      </c>
      <c r="N38" s="7">
        <v>60.35</v>
      </c>
      <c r="O38" s="7">
        <v>-1.43</v>
      </c>
      <c r="P38" s="7">
        <v>-1.84</v>
      </c>
      <c r="Q38" s="240" t="s">
        <v>258</v>
      </c>
    </row>
    <row r="39" spans="1:17" ht="15" customHeight="1" x14ac:dyDescent="0.25">
      <c r="A39" s="3">
        <v>7046</v>
      </c>
      <c r="B39" s="5" t="s">
        <v>578</v>
      </c>
      <c r="C39" s="183"/>
      <c r="D39" t="s">
        <v>516</v>
      </c>
      <c r="E39" s="5" t="str">
        <f t="shared" si="0"/>
        <v>RAL_7046_Telegrau2</v>
      </c>
      <c r="F39" s="237" t="s">
        <v>574</v>
      </c>
      <c r="G39" s="5" t="str">
        <f t="shared" si="1"/>
        <v>&amp;H8E8982&amp;</v>
      </c>
      <c r="H39" s="5">
        <f t="shared" si="2"/>
        <v>18</v>
      </c>
      <c r="I39" s="238" t="str">
        <f t="shared" si="3"/>
        <v>Case RAL_7046_Telegrau2:        s = "Telegrau2"</v>
      </c>
      <c r="J39" s="238" t="str">
        <f t="shared" si="4"/>
        <v>Case RAL_7046_Telegrau2:        n = 7046</v>
      </c>
      <c r="K39" s="238" t="str">
        <f t="shared" si="5"/>
        <v>Case 7046: c = RAL_7046_Telegrau2</v>
      </c>
      <c r="L39" s="238" t="str">
        <f t="shared" si="6"/>
        <v>MColor.CIELab(57.75, -1.6, -3)</v>
      </c>
      <c r="M39" s="238" t="str">
        <f t="shared" si="7"/>
        <v>m_Arr(i) = TNamedRALColor("Telegrau2", 7046, RALClassic.RAL_7046_Telegrau2, MColor.CIELab(57.75, -1.6, -3)):              i = i + 1</v>
      </c>
      <c r="N39" s="7">
        <v>57.75</v>
      </c>
      <c r="O39" s="7">
        <v>-1.6</v>
      </c>
      <c r="P39" s="7">
        <v>-3</v>
      </c>
      <c r="Q39" s="240"/>
    </row>
    <row r="40" spans="1:17" ht="15" customHeight="1" x14ac:dyDescent="0.25">
      <c r="A40" s="3">
        <v>7047</v>
      </c>
      <c r="B40" s="5" t="s">
        <v>579</v>
      </c>
      <c r="C40" s="184"/>
      <c r="D40" t="s">
        <v>517</v>
      </c>
      <c r="E40" s="5" t="str">
        <f t="shared" si="0"/>
        <v>RAL_7047_Telegrau4</v>
      </c>
      <c r="F40" s="237" t="s">
        <v>574</v>
      </c>
      <c r="G40" s="5" t="str">
        <f t="shared" si="1"/>
        <v>&amp;HCFD0CF&amp;</v>
      </c>
      <c r="H40" s="5">
        <f t="shared" si="2"/>
        <v>18</v>
      </c>
      <c r="I40" s="238" t="str">
        <f t="shared" si="3"/>
        <v>Case RAL_7047_Telegrau4:        s = "Telegrau4"</v>
      </c>
      <c r="J40" s="238" t="str">
        <f t="shared" si="4"/>
        <v>Case RAL_7047_Telegrau4:        n = 7047</v>
      </c>
      <c r="K40" s="238" t="str">
        <f t="shared" si="5"/>
        <v>Case 7047: c = RAL_7047_Telegrau4</v>
      </c>
      <c r="L40" s="238" t="str">
        <f t="shared" si="6"/>
        <v>MColor.CIELab(81.43, 0.01, 0.1)</v>
      </c>
      <c r="M40" s="238" t="str">
        <f t="shared" si="7"/>
        <v>m_Arr(i) = TNamedRALColor("Telegrau4", 7047, RALClassic.RAL_7047_Telegrau4, MColor.CIELab(81.43, 0.01, 0.1)):             i = i + 1</v>
      </c>
      <c r="N40" s="7">
        <v>81.430000000000007</v>
      </c>
      <c r="O40" s="7">
        <v>0.01</v>
      </c>
      <c r="P40" s="7">
        <v>0.1</v>
      </c>
      <c r="Q40" s="240"/>
    </row>
    <row r="41" spans="1:17" ht="15" customHeight="1" x14ac:dyDescent="0.25">
      <c r="A41" s="3">
        <v>7048</v>
      </c>
      <c r="B41" s="5" t="s">
        <v>259</v>
      </c>
      <c r="C41" s="185"/>
      <c r="D41" t="s">
        <v>518</v>
      </c>
      <c r="E41" s="5" t="str">
        <f t="shared" si="0"/>
        <v>RAL_7048_Perlmausgrau</v>
      </c>
      <c r="F41" s="237" t="s">
        <v>574</v>
      </c>
      <c r="G41" s="5" t="str">
        <f t="shared" si="1"/>
        <v>&amp;H758188&amp;</v>
      </c>
      <c r="H41" s="5">
        <f t="shared" si="2"/>
        <v>21</v>
      </c>
      <c r="I41" s="238" t="str">
        <f t="shared" si="3"/>
        <v>Case RAL_7048_Perlmausgrau:     s = "Perlmausgrau"</v>
      </c>
      <c r="J41" s="238" t="str">
        <f t="shared" si="4"/>
        <v>Case RAL_7048_Perlmausgrau:     n = 7048</v>
      </c>
      <c r="K41" s="238" t="str">
        <f t="shared" si="5"/>
        <v>Case 7048: c = RAL_7048_Perlmausgrau</v>
      </c>
      <c r="L41" s="238" t="str">
        <f t="shared" si="6"/>
        <v>MColor.CIELab(54.55, -0.45, 7.59)</v>
      </c>
      <c r="M41" s="238" t="str">
        <f t="shared" si="7"/>
        <v>m_Arr(i) = TNamedRALColor("Perlmausgrau", 7048, RALClassic.RAL_7048_Perlmausgrau, MColor.CIELab(54.55, -0.45, 7.59)):     i = i + 1</v>
      </c>
      <c r="N41" s="7">
        <v>54.55</v>
      </c>
      <c r="O41" s="7">
        <v>-0.45</v>
      </c>
      <c r="P41" s="7">
        <v>7.59</v>
      </c>
      <c r="Q41" s="5"/>
    </row>
    <row r="42" spans="1:17" ht="15" customHeight="1" x14ac:dyDescent="0.25"/>
  </sheetData>
  <mergeCells count="2">
    <mergeCell ref="N3:P3"/>
    <mergeCell ref="Q38:Q40"/>
  </mergeCells>
  <hyperlinks>
    <hyperlink ref="C3" r:id="rId1" location="cite_note-wiedergabe-5" display="https://de.wikipedia.org/wiki/RAL-Farbe - cite_note-wiedergabe-5" xr:uid="{00000000-0004-0000-0600-000000000000}"/>
    <hyperlink ref="N3" r:id="rId2" tooltip="Lab-Farbraum" display="https://de.wikipedia.org/wiki/Lab-Farbraum" xr:uid="{00000000-0004-0000-0600-000001000000}"/>
    <hyperlink ref="Q4" r:id="rId3" tooltip="Deutsche Marine" display="https://de.wikipedia.org/wiki/Deutsche_Marine" xr:uid="{00000000-0004-0000-0600-000002000000}"/>
    <hyperlink ref="B5" r:id="rId4" tooltip="Silbergrau" display="https://de.wikipedia.org/wiki/Silbergrau" xr:uid="{00000000-0004-0000-0600-000003000000}"/>
    <hyperlink ref="Q6" r:id="rId5" location="cite_note-FarbkarteB2-6" display="https://de.wikipedia.org/wiki/RAL-Farbe - cite_note-FarbkarteB2-6" xr:uid="{00000000-0004-0000-0600-000004000000}"/>
    <hyperlink ref="Q7" r:id="rId6" location="cite_note-FarbkarteB2-6" display="https://de.wikipedia.org/wiki/RAL-Farbe - cite_note-FarbkarteB2-6" xr:uid="{00000000-0004-0000-0600-000005000000}"/>
    <hyperlink ref="Q12" r:id="rId7" location="cite_note-FarbkarteB2-6" display="https://de.wikipedia.org/wiki/RAL-Farbe - cite_note-FarbkarteB2-6" xr:uid="{00000000-0004-0000-0600-000006000000}"/>
    <hyperlink ref="Q18" r:id="rId8" location="cite_note-FarbkarteB2-6" display="https://de.wikipedia.org/wiki/RAL-Farbe - cite_note-FarbkarteB2-6" xr:uid="{00000000-0004-0000-0600-000007000000}"/>
    <hyperlink ref="Q19" r:id="rId9" location="cite_note-FarbkarteB2-6" display="https://de.wikipedia.org/wiki/RAL-Farbe - cite_note-FarbkarteB2-6" xr:uid="{00000000-0004-0000-0600-000008000000}"/>
    <hyperlink ref="Q25" r:id="rId10" tooltip="DIN 1843 (Seite nicht vorhanden)" display="https://de.wikipedia.org/w/index.php?title=DIN_1843&amp;action=edit&amp;redlink=1" xr:uid="{00000000-0004-0000-0600-000009000000}"/>
  </hyperlinks>
  <pageMargins left="0.7" right="0.7" top="0.78740157499999996" bottom="0.78740157499999996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Q28"/>
  <sheetViews>
    <sheetView topLeftCell="J1" workbookViewId="0">
      <selection activeCell="M4" sqref="M4"/>
    </sheetView>
  </sheetViews>
  <sheetFormatPr baseColWidth="10" defaultRowHeight="15" x14ac:dyDescent="0.25"/>
  <cols>
    <col min="2" max="2" width="18.7109375" customWidth="1"/>
    <col min="3" max="4" width="15.7109375" customWidth="1"/>
    <col min="5" max="5" width="27.140625" bestFit="1" customWidth="1"/>
    <col min="6" max="6" width="2" bestFit="1" customWidth="1"/>
    <col min="7" max="7" width="12.7109375" customWidth="1"/>
    <col min="8" max="8" width="6.7109375" customWidth="1"/>
    <col min="9" max="9" width="56.140625" bestFit="1" customWidth="1"/>
    <col min="10" max="11" width="41.85546875" bestFit="1" customWidth="1"/>
    <col min="12" max="12" width="41.85546875" customWidth="1"/>
    <col min="13" max="13" width="135.42578125" bestFit="1" customWidth="1"/>
    <col min="17" max="17" width="138.42578125" customWidth="1"/>
  </cols>
  <sheetData>
    <row r="1" spans="1:17" ht="18" x14ac:dyDescent="0.25">
      <c r="A1" s="2" t="s">
        <v>260</v>
      </c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8000</v>
      </c>
      <c r="B4" s="5" t="s">
        <v>261</v>
      </c>
      <c r="C4" s="186"/>
      <c r="D4" t="s">
        <v>519</v>
      </c>
      <c r="E4" s="5" t="str">
        <f>"RAL" &amp; "_" &amp; A4 &amp; "_" &amp; B4</f>
        <v>RAL_8000_Grünbraun</v>
      </c>
      <c r="F4" s="237" t="s">
        <v>574</v>
      </c>
      <c r="G4" s="5" t="str">
        <f>D4 &amp; "&amp;"</f>
        <v>&amp;H3E6989&amp;</v>
      </c>
      <c r="H4" s="5">
        <f>LEN(E4)</f>
        <v>18</v>
      </c>
      <c r="I4" s="238" t="str">
        <f>"Case "&amp; "RAL" &amp; "_"&amp; A4 &amp;"_"&amp;B4&amp;": "&amp;REPT(" ",25-LEN(E4))&amp;"s = """&amp;B4&amp;""""</f>
        <v>Case RAL_8000_Grünbraun:        s = "Grünbraun"</v>
      </c>
      <c r="J4" s="238" t="str">
        <f>"Case " &amp; "RAL" &amp; "_" &amp; A4 &amp;"_"&amp;B4&amp;": "&amp;REPT(" ",25-H4) &amp; "n = " &amp; A4</f>
        <v>Case RAL_8000_Grünbraun:        n = 8000</v>
      </c>
      <c r="K4" s="238" t="str">
        <f>"Case " &amp; A4 &amp; ": c = " &amp; "RAL" &amp; "_" &amp; A4 &amp; "_" &amp; B4</f>
        <v>Case 8000: c = RAL_8000_Grünbraun</v>
      </c>
      <c r="L4" s="238" t="str">
        <f xml:space="preserve"> "MColor.CIELab(" &amp; SUBSTITUTE(N4, ",", ".") &amp; ", " &amp; SUBSTITUTE(O4, ",", ".") &amp; ", " &amp; SUBSTITUTE(P4, ",", ".") &amp; ")"</f>
        <v>MColor.CIELab(54, 8, 29)</v>
      </c>
      <c r="M4" s="238" t="str">
        <f>"m_Arr(i) = TNamedRALColor(""" &amp; B4 &amp; """, " &amp; A4 &amp; ", RALClassic." &amp; E4 &amp; ", " &amp; L4 &amp; "): " &amp; REPT(" ", (79-LEN(L4))-2*H4) &amp; "i = i + 1"</f>
        <v>m_Arr(i) = TNamedRALColor("Grünbraun", 8000, RALClassic.RAL_8000_Grünbraun, MColor.CIELab(54, 8, 29)):                    i = i + 1</v>
      </c>
      <c r="N4" s="7">
        <v>54</v>
      </c>
      <c r="O4" s="7">
        <v>8</v>
      </c>
      <c r="P4" s="7">
        <v>29</v>
      </c>
      <c r="Q4" s="8" t="s">
        <v>262</v>
      </c>
    </row>
    <row r="5" spans="1:17" ht="15" customHeight="1" x14ac:dyDescent="0.25">
      <c r="A5" s="3">
        <v>8001</v>
      </c>
      <c r="B5" s="5" t="s">
        <v>263</v>
      </c>
      <c r="C5" s="187"/>
      <c r="D5" t="s">
        <v>520</v>
      </c>
      <c r="E5" s="5" t="str">
        <f t="shared" ref="E5:E23" si="0">"RAL" &amp; "_" &amp; A5 &amp; "_" &amp; B5</f>
        <v>RAL_8001_Ockerbraun</v>
      </c>
      <c r="F5" s="237" t="s">
        <v>574</v>
      </c>
      <c r="G5" s="5" t="str">
        <f t="shared" ref="G5:G23" si="1">D5 &amp; "&amp;"</f>
        <v>&amp;H2D6299&amp;</v>
      </c>
      <c r="H5" s="5">
        <f t="shared" ref="H5:H23" si="2">LEN(E5)</f>
        <v>19</v>
      </c>
      <c r="I5" s="238" t="str">
        <f t="shared" ref="I5:I23" si="3">"Case "&amp; "RAL" &amp; "_"&amp; A5 &amp;"_"&amp;B5&amp;": "&amp;REPT(" ",25-LEN(E5))&amp;"s = """&amp;B5&amp;""""</f>
        <v>Case RAL_8001_Ockerbraun:       s = "Ockerbraun"</v>
      </c>
      <c r="J5" s="238" t="str">
        <f t="shared" ref="J5:J23" si="4">"Case " &amp; "RAL" &amp; "_" &amp; A5 &amp;"_"&amp;B5&amp;": "&amp;REPT(" ",25-H5) &amp; "n = " &amp; A5</f>
        <v>Case RAL_8001_Ockerbraun:       n = 8001</v>
      </c>
      <c r="K5" s="238" t="str">
        <f t="shared" ref="K5:K23" si="5">"Case " &amp; A5 &amp; ": c = " &amp; "RAL" &amp; "_" &amp; A5 &amp; "_" &amp; B5</f>
        <v>Case 8001: c = RAL_8001_Ockerbraun</v>
      </c>
      <c r="L5" s="238" t="str">
        <f t="shared" ref="L5:L23" si="6" xml:space="preserve"> "MColor.CIELab(" &amp; SUBSTITUTE(N5, ",", ".") &amp; ", " &amp; SUBSTITUTE(O5, ",", ".") &amp; ", " &amp; SUBSTITUTE(P5, ",", ".") &amp; ")"</f>
        <v>MColor.CIELab(47.08, 18.95, 39.87)</v>
      </c>
      <c r="M5" s="238" t="str">
        <f t="shared" ref="M5:M23" si="7">"m_Arr(i) = TNamedRALColor(""" &amp; B5 &amp; """, " &amp; A5 &amp; ", RALClassic." &amp; E5 &amp; ", " &amp; L5 &amp; "): " &amp; REPT(" ", (79-LEN(L5))-2*H5) &amp; "i = i + 1"</f>
        <v>m_Arr(i) = TNamedRALColor("Ockerbraun", 8001, RALClassic.RAL_8001_Ockerbraun, MColor.CIELab(47.08, 18.95, 39.87)):        i = i + 1</v>
      </c>
      <c r="N5" s="7">
        <v>47.08</v>
      </c>
      <c r="O5" s="7">
        <v>18.95</v>
      </c>
      <c r="P5" s="7">
        <v>39.869999999999997</v>
      </c>
      <c r="Q5" s="5"/>
    </row>
    <row r="6" spans="1:17" ht="15" customHeight="1" x14ac:dyDescent="0.25">
      <c r="A6" s="3">
        <v>8002</v>
      </c>
      <c r="B6" s="5" t="s">
        <v>264</v>
      </c>
      <c r="C6" s="188"/>
      <c r="D6" t="s">
        <v>521</v>
      </c>
      <c r="E6" s="5" t="str">
        <f t="shared" si="0"/>
        <v>RAL_8002_Signalbraun</v>
      </c>
      <c r="F6" s="237" t="s">
        <v>574</v>
      </c>
      <c r="G6" s="5" t="str">
        <f t="shared" si="1"/>
        <v>&amp;H3E4D79&amp;</v>
      </c>
      <c r="H6" s="5">
        <f t="shared" si="2"/>
        <v>20</v>
      </c>
      <c r="I6" s="238" t="str">
        <f t="shared" si="3"/>
        <v>Case RAL_8002_Signalbraun:      s = "Signalbraun"</v>
      </c>
      <c r="J6" s="238" t="str">
        <f t="shared" si="4"/>
        <v>Case RAL_8002_Signalbraun:      n = 8002</v>
      </c>
      <c r="K6" s="238" t="str">
        <f t="shared" si="5"/>
        <v>Case 8002: c = RAL_8002_Signalbraun</v>
      </c>
      <c r="L6" s="238" t="str">
        <f t="shared" si="6"/>
        <v>MColor.CIELab(45, 17, 17)</v>
      </c>
      <c r="M6" s="238" t="str">
        <f t="shared" si="7"/>
        <v>m_Arr(i) = TNamedRALColor("Signalbraun", 8002, RALClassic.RAL_8002_Signalbraun, MColor.CIELab(45, 17, 17)):               i = i + 1</v>
      </c>
      <c r="N6" s="7">
        <v>45</v>
      </c>
      <c r="O6" s="7">
        <v>17</v>
      </c>
      <c r="P6" s="7">
        <v>17</v>
      </c>
      <c r="Q6" s="8" t="s">
        <v>265</v>
      </c>
    </row>
    <row r="7" spans="1:17" ht="15" customHeight="1" x14ac:dyDescent="0.25">
      <c r="A7" s="3">
        <v>8003</v>
      </c>
      <c r="B7" s="5" t="s">
        <v>266</v>
      </c>
      <c r="C7" s="189"/>
      <c r="D7" t="s">
        <v>522</v>
      </c>
      <c r="E7" s="5" t="str">
        <f t="shared" si="0"/>
        <v>RAL_8003_Lehmbraun</v>
      </c>
      <c r="F7" s="237" t="s">
        <v>574</v>
      </c>
      <c r="G7" s="5" t="str">
        <f t="shared" si="1"/>
        <v>&amp;H264B7E&amp;</v>
      </c>
      <c r="H7" s="5">
        <f t="shared" si="2"/>
        <v>18</v>
      </c>
      <c r="I7" s="238" t="str">
        <f t="shared" si="3"/>
        <v>Case RAL_8003_Lehmbraun:        s = "Lehmbraun"</v>
      </c>
      <c r="J7" s="238" t="str">
        <f t="shared" si="4"/>
        <v>Case RAL_8003_Lehmbraun:        n = 8003</v>
      </c>
      <c r="K7" s="238" t="str">
        <f t="shared" si="5"/>
        <v>Case 8003: c = RAL_8003_Lehmbraun</v>
      </c>
      <c r="L7" s="238" t="str">
        <f t="shared" si="6"/>
        <v>MColor.CIELab(45, 18, 33)</v>
      </c>
      <c r="M7" s="238" t="str">
        <f t="shared" si="7"/>
        <v>m_Arr(i) = TNamedRALColor("Lehmbraun", 8003, RALClassic.RAL_8003_Lehmbraun, MColor.CIELab(45, 18, 33)):                   i = i + 1</v>
      </c>
      <c r="N7" s="7">
        <v>45</v>
      </c>
      <c r="O7" s="7">
        <v>18</v>
      </c>
      <c r="P7" s="7">
        <v>33</v>
      </c>
      <c r="Q7" s="8" t="s">
        <v>267</v>
      </c>
    </row>
    <row r="8" spans="1:17" ht="15" customHeight="1" x14ac:dyDescent="0.25">
      <c r="A8" s="3">
        <v>8004</v>
      </c>
      <c r="B8" s="5" t="s">
        <v>268</v>
      </c>
      <c r="C8" s="190"/>
      <c r="D8" t="s">
        <v>523</v>
      </c>
      <c r="E8" s="5" t="str">
        <f t="shared" si="0"/>
        <v>RAL_8004_Kupferbraun</v>
      </c>
      <c r="F8" s="237" t="s">
        <v>574</v>
      </c>
      <c r="G8" s="5" t="str">
        <f t="shared" si="1"/>
        <v>&amp;H354E8F&amp;</v>
      </c>
      <c r="H8" s="5">
        <f t="shared" si="2"/>
        <v>20</v>
      </c>
      <c r="I8" s="238" t="str">
        <f t="shared" si="3"/>
        <v>Case RAL_8004_Kupferbraun:      s = "Kupferbraun"</v>
      </c>
      <c r="J8" s="238" t="str">
        <f t="shared" si="4"/>
        <v>Case RAL_8004_Kupferbraun:      n = 8004</v>
      </c>
      <c r="K8" s="238" t="str">
        <f t="shared" si="5"/>
        <v>Case 8004: c = RAL_8004_Kupferbraun</v>
      </c>
      <c r="L8" s="238" t="str">
        <f t="shared" si="6"/>
        <v>MColor.CIELab(43.78, 22.83, 20.22)</v>
      </c>
      <c r="M8" s="238" t="str">
        <f t="shared" si="7"/>
        <v>m_Arr(i) = TNamedRALColor("Kupferbraun", 8004, RALClassic.RAL_8004_Kupferbraun, MColor.CIELab(43.78, 22.83, 20.22)):      i = i + 1</v>
      </c>
      <c r="N8" s="7">
        <v>43.78</v>
      </c>
      <c r="O8" s="7">
        <v>22.83</v>
      </c>
      <c r="P8" s="7">
        <v>20.22</v>
      </c>
      <c r="Q8" s="5"/>
    </row>
    <row r="9" spans="1:17" ht="15" customHeight="1" x14ac:dyDescent="0.25">
      <c r="A9" s="3">
        <v>8007</v>
      </c>
      <c r="B9" s="5" t="s">
        <v>269</v>
      </c>
      <c r="C9" s="191"/>
      <c r="D9" t="s">
        <v>524</v>
      </c>
      <c r="E9" s="5" t="str">
        <f t="shared" si="0"/>
        <v>RAL_8007_Rehbraun</v>
      </c>
      <c r="F9" s="237" t="s">
        <v>574</v>
      </c>
      <c r="G9" s="5" t="str">
        <f t="shared" si="1"/>
        <v>&amp;H2F4A6F&amp;</v>
      </c>
      <c r="H9" s="5">
        <f t="shared" si="2"/>
        <v>17</v>
      </c>
      <c r="I9" s="238" t="str">
        <f t="shared" si="3"/>
        <v>Case RAL_8007_Rehbraun:         s = "Rehbraun"</v>
      </c>
      <c r="J9" s="238" t="str">
        <f t="shared" si="4"/>
        <v>Case RAL_8007_Rehbraun:         n = 8007</v>
      </c>
      <c r="K9" s="238" t="str">
        <f t="shared" si="5"/>
        <v>Case 8007: c = RAL_8007_Rehbraun</v>
      </c>
      <c r="L9" s="238" t="str">
        <f t="shared" si="6"/>
        <v>MColor.CIELab(38.99, 12.62, 17.08)</v>
      </c>
      <c r="M9" s="238" t="str">
        <f t="shared" si="7"/>
        <v>m_Arr(i) = TNamedRALColor("Rehbraun", 8007, RALClassic.RAL_8007_Rehbraun, MColor.CIELab(38.99, 12.62, 17.08)):            i = i + 1</v>
      </c>
      <c r="N9" s="7">
        <v>38.99</v>
      </c>
      <c r="O9" s="7">
        <v>12.62</v>
      </c>
      <c r="P9" s="7">
        <v>17.079999999999998</v>
      </c>
      <c r="Q9" s="5"/>
    </row>
    <row r="10" spans="1:17" ht="15" customHeight="1" x14ac:dyDescent="0.25">
      <c r="A10" s="3">
        <v>8008</v>
      </c>
      <c r="B10" s="5" t="s">
        <v>270</v>
      </c>
      <c r="C10" s="192"/>
      <c r="D10" t="s">
        <v>525</v>
      </c>
      <c r="E10" s="5" t="str">
        <f t="shared" si="0"/>
        <v>RAL_8008_Olivbraun</v>
      </c>
      <c r="F10" s="237" t="s">
        <v>574</v>
      </c>
      <c r="G10" s="5" t="str">
        <f t="shared" si="1"/>
        <v>&amp;H234A6E&amp;</v>
      </c>
      <c r="H10" s="5">
        <f t="shared" si="2"/>
        <v>18</v>
      </c>
      <c r="I10" s="238" t="str">
        <f t="shared" si="3"/>
        <v>Case RAL_8008_Olivbraun:        s = "Olivbraun"</v>
      </c>
      <c r="J10" s="238" t="str">
        <f t="shared" si="4"/>
        <v>Case RAL_8008_Olivbraun:        n = 8008</v>
      </c>
      <c r="K10" s="238" t="str">
        <f t="shared" si="5"/>
        <v>Case 8008: c = RAL_8008_Olivbraun</v>
      </c>
      <c r="L10" s="238" t="str">
        <f t="shared" si="6"/>
        <v>MColor.CIELab(35.15, 13.22, 28.5)</v>
      </c>
      <c r="M10" s="238" t="str">
        <f t="shared" si="7"/>
        <v>m_Arr(i) = TNamedRALColor("Olivbraun", 8008, RALClassic.RAL_8008_Olivbraun, MColor.CIELab(35.15, 13.22, 28.5)):           i = i + 1</v>
      </c>
      <c r="N10" s="7">
        <v>35.15</v>
      </c>
      <c r="O10" s="7">
        <v>13.22</v>
      </c>
      <c r="P10" s="7">
        <v>28.5</v>
      </c>
      <c r="Q10" s="5"/>
    </row>
    <row r="11" spans="1:17" ht="15" customHeight="1" x14ac:dyDescent="0.25">
      <c r="A11" s="3">
        <v>8011</v>
      </c>
      <c r="B11" s="5" t="s">
        <v>271</v>
      </c>
      <c r="C11" s="193"/>
      <c r="D11" t="s">
        <v>526</v>
      </c>
      <c r="E11" s="5" t="str">
        <f t="shared" si="0"/>
        <v>RAL_8011_Nussbraun</v>
      </c>
      <c r="F11" s="237" t="s">
        <v>574</v>
      </c>
      <c r="G11" s="5" t="str">
        <f t="shared" si="1"/>
        <v>&amp;H293A5A&amp;</v>
      </c>
      <c r="H11" s="5">
        <f t="shared" si="2"/>
        <v>18</v>
      </c>
      <c r="I11" s="238" t="str">
        <f t="shared" si="3"/>
        <v>Case RAL_8011_Nussbraun:        s = "Nussbraun"</v>
      </c>
      <c r="J11" s="238" t="str">
        <f t="shared" si="4"/>
        <v>Case RAL_8011_Nussbraun:        n = 8011</v>
      </c>
      <c r="K11" s="238" t="str">
        <f t="shared" si="5"/>
        <v>Case 8011: c = RAL_8011_Nussbraun</v>
      </c>
      <c r="L11" s="238" t="str">
        <f t="shared" si="6"/>
        <v>MColor.CIELab(33.98, 10.04, 10.97)</v>
      </c>
      <c r="M11" s="238" t="str">
        <f t="shared" si="7"/>
        <v>m_Arr(i) = TNamedRALColor("Nussbraun", 8011, RALClassic.RAL_8011_Nussbraun, MColor.CIELab(33.98, 10.04, 10.97)):          i = i + 1</v>
      </c>
      <c r="N11" s="7">
        <v>33.979999999999997</v>
      </c>
      <c r="O11" s="7">
        <v>10.039999999999999</v>
      </c>
      <c r="P11" s="7">
        <v>10.97</v>
      </c>
      <c r="Q11" s="5"/>
    </row>
    <row r="12" spans="1:17" ht="15" customHeight="1" x14ac:dyDescent="0.25">
      <c r="A12" s="3">
        <v>8012</v>
      </c>
      <c r="B12" s="5" t="s">
        <v>272</v>
      </c>
      <c r="C12" s="194"/>
      <c r="D12" t="s">
        <v>527</v>
      </c>
      <c r="E12" s="5" t="str">
        <f t="shared" si="0"/>
        <v>RAL_8012_Rotbraun</v>
      </c>
      <c r="F12" s="237" t="s">
        <v>574</v>
      </c>
      <c r="G12" s="5" t="str">
        <f t="shared" si="1"/>
        <v>&amp;H2B3366&amp;</v>
      </c>
      <c r="H12" s="5">
        <f t="shared" si="2"/>
        <v>17</v>
      </c>
      <c r="I12" s="238" t="str">
        <f t="shared" si="3"/>
        <v>Case RAL_8012_Rotbraun:         s = "Rotbraun"</v>
      </c>
      <c r="J12" s="238" t="str">
        <f t="shared" si="4"/>
        <v>Case RAL_8012_Rotbraun:         n = 8012</v>
      </c>
      <c r="K12" s="238" t="str">
        <f t="shared" si="5"/>
        <v>Case 8012: c = RAL_8012_Rotbraun</v>
      </c>
      <c r="L12" s="238" t="str">
        <f t="shared" si="6"/>
        <v>MColor.CIELab(35, 23, 17)</v>
      </c>
      <c r="M12" s="238" t="str">
        <f t="shared" si="7"/>
        <v>m_Arr(i) = TNamedRALColor("Rotbraun", 8012, RALClassic.RAL_8012_Rotbraun, MColor.CIELab(35, 23, 17)):                     i = i + 1</v>
      </c>
      <c r="N12" s="7">
        <v>35</v>
      </c>
      <c r="O12" s="7">
        <v>23</v>
      </c>
      <c r="P12" s="7">
        <v>17</v>
      </c>
      <c r="Q12" s="8" t="s">
        <v>273</v>
      </c>
    </row>
    <row r="13" spans="1:17" ht="15" customHeight="1" x14ac:dyDescent="0.25">
      <c r="A13" s="3">
        <v>8014</v>
      </c>
      <c r="B13" s="8" t="s">
        <v>274</v>
      </c>
      <c r="C13" s="195"/>
      <c r="D13" t="s">
        <v>528</v>
      </c>
      <c r="E13" s="5" t="str">
        <f t="shared" si="0"/>
        <v>RAL_8014_Sepiabraun</v>
      </c>
      <c r="F13" s="237" t="s">
        <v>574</v>
      </c>
      <c r="G13" s="5" t="str">
        <f t="shared" si="1"/>
        <v>&amp;H26354A&amp;</v>
      </c>
      <c r="H13" s="5">
        <f t="shared" si="2"/>
        <v>19</v>
      </c>
      <c r="I13" s="238" t="str">
        <f t="shared" si="3"/>
        <v>Case RAL_8014_Sepiabraun:       s = "Sepiabraun"</v>
      </c>
      <c r="J13" s="238" t="str">
        <f t="shared" si="4"/>
        <v>Case RAL_8014_Sepiabraun:       n = 8014</v>
      </c>
      <c r="K13" s="238" t="str">
        <f t="shared" si="5"/>
        <v>Case 8014: c = RAL_8014_Sepiabraun</v>
      </c>
      <c r="L13" s="238" t="str">
        <f t="shared" si="6"/>
        <v>MColor.CIELab(32, 8, 15)</v>
      </c>
      <c r="M13" s="238" t="str">
        <f t="shared" si="7"/>
        <v>m_Arr(i) = TNamedRALColor("Sepiabraun", 8014, RALClassic.RAL_8014_Sepiabraun, MColor.CIELab(32, 8, 15)):                  i = i + 1</v>
      </c>
      <c r="N13" s="7">
        <v>32</v>
      </c>
      <c r="O13" s="7">
        <v>8</v>
      </c>
      <c r="P13" s="7">
        <v>15</v>
      </c>
      <c r="Q13" s="8" t="s">
        <v>275</v>
      </c>
    </row>
    <row r="14" spans="1:17" ht="15" customHeight="1" x14ac:dyDescent="0.25">
      <c r="A14" s="3">
        <v>8015</v>
      </c>
      <c r="B14" s="5" t="s">
        <v>276</v>
      </c>
      <c r="C14" s="196"/>
      <c r="D14" t="s">
        <v>529</v>
      </c>
      <c r="E14" s="5" t="str">
        <f t="shared" si="0"/>
        <v>RAL_8015_Kastanienbraun</v>
      </c>
      <c r="F14" s="237" t="s">
        <v>574</v>
      </c>
      <c r="G14" s="5" t="str">
        <f t="shared" si="1"/>
        <v>&amp;H343A63&amp;</v>
      </c>
      <c r="H14" s="5">
        <f t="shared" si="2"/>
        <v>23</v>
      </c>
      <c r="I14" s="238" t="str">
        <f t="shared" si="3"/>
        <v>Case RAL_8015_Kastanienbraun:   s = "Kastanienbraun"</v>
      </c>
      <c r="J14" s="238" t="str">
        <f t="shared" si="4"/>
        <v>Case RAL_8015_Kastanienbraun:   n = 8015</v>
      </c>
      <c r="K14" s="238" t="str">
        <f t="shared" si="5"/>
        <v>Case 8015: c = RAL_8015_Kastanienbraun</v>
      </c>
      <c r="L14" s="238" t="str">
        <f t="shared" si="6"/>
        <v>MColor.CIELab(33.52, 15.02, 9.25)</v>
      </c>
      <c r="M14" s="238" t="str">
        <f t="shared" si="7"/>
        <v>m_Arr(i) = TNamedRALColor("Kastanienbraun", 8015, RALClassic.RAL_8015_Kastanienbraun, MColor.CIELab(33.52, 15.02, 9.25)): i = i + 1</v>
      </c>
      <c r="N14" s="7">
        <v>33.520000000000003</v>
      </c>
      <c r="O14" s="7">
        <v>15.02</v>
      </c>
      <c r="P14" s="7">
        <v>9.25</v>
      </c>
      <c r="Q14" s="5"/>
    </row>
    <row r="15" spans="1:17" ht="15" customHeight="1" x14ac:dyDescent="0.25">
      <c r="A15" s="3">
        <v>8016</v>
      </c>
      <c r="B15" s="8" t="s">
        <v>277</v>
      </c>
      <c r="C15" s="197"/>
      <c r="D15" t="s">
        <v>530</v>
      </c>
      <c r="E15" s="5" t="str">
        <f t="shared" si="0"/>
        <v>RAL_8016_Mahagonibraun</v>
      </c>
      <c r="F15" s="237" t="s">
        <v>574</v>
      </c>
      <c r="G15" s="5" t="str">
        <f t="shared" si="1"/>
        <v>&amp;H1F2A49&amp;</v>
      </c>
      <c r="H15" s="5">
        <f t="shared" si="2"/>
        <v>22</v>
      </c>
      <c r="I15" s="238" t="str">
        <f t="shared" si="3"/>
        <v>Case RAL_8016_Mahagonibraun:    s = "Mahagonibraun"</v>
      </c>
      <c r="J15" s="238" t="str">
        <f t="shared" si="4"/>
        <v>Case RAL_8016_Mahagonibraun:    n = 8016</v>
      </c>
      <c r="K15" s="238" t="str">
        <f t="shared" si="5"/>
        <v>Case 8016: c = RAL_8016_Mahagonibraun</v>
      </c>
      <c r="L15" s="238" t="str">
        <f t="shared" si="6"/>
        <v>MColor.CIELab(21.4, 14.37, 13.84)</v>
      </c>
      <c r="M15" s="238" t="str">
        <f t="shared" si="7"/>
        <v>m_Arr(i) = TNamedRALColor("Mahagonibraun", 8016, RALClassic.RAL_8016_Mahagonibraun, MColor.CIELab(21.4, 14.37, 13.84)):   i = i + 1</v>
      </c>
      <c r="N15" s="7">
        <v>21.4</v>
      </c>
      <c r="O15" s="7">
        <v>14.37</v>
      </c>
      <c r="P15" s="7">
        <v>13.84</v>
      </c>
      <c r="Q15" s="5"/>
    </row>
    <row r="16" spans="1:17" ht="15" customHeight="1" x14ac:dyDescent="0.25">
      <c r="A16" s="3">
        <v>8017</v>
      </c>
      <c r="B16" s="5" t="s">
        <v>580</v>
      </c>
      <c r="C16" s="198"/>
      <c r="D16" t="s">
        <v>531</v>
      </c>
      <c r="E16" s="5" t="str">
        <f t="shared" si="0"/>
        <v>RAL_8017_Schokoladenbraun</v>
      </c>
      <c r="F16" s="237" t="s">
        <v>574</v>
      </c>
      <c r="G16" s="5" t="str">
        <f t="shared" si="1"/>
        <v>&amp;H292F44&amp;</v>
      </c>
      <c r="H16" s="5">
        <f t="shared" si="2"/>
        <v>25</v>
      </c>
      <c r="I16" s="238" t="str">
        <f t="shared" si="3"/>
        <v>Case RAL_8017_Schokoladenbraun: s = "Schokoladenbraun"</v>
      </c>
      <c r="J16" s="238" t="str">
        <f t="shared" si="4"/>
        <v>Case RAL_8017_Schokoladenbraun: n = 8017</v>
      </c>
      <c r="K16" s="238" t="str">
        <f t="shared" si="5"/>
        <v>Case 8017: c = RAL_8017_Schokoladenbraun</v>
      </c>
      <c r="L16" s="238" t="str">
        <f t="shared" si="6"/>
        <v>MColor.CIELab(29, 10, 9)</v>
      </c>
      <c r="M16" s="238" t="str">
        <f t="shared" si="7"/>
        <v>m_Arr(i) = TNamedRALColor("Schokoladenbraun", 8017, RALClassic.RAL_8017_Schokoladenbraun, MColor.CIELab(29, 10, 9)):      i = i + 1</v>
      </c>
      <c r="N16" s="7">
        <v>29</v>
      </c>
      <c r="O16" s="7">
        <v>10</v>
      </c>
      <c r="P16" s="7">
        <v>9</v>
      </c>
      <c r="Q16" s="8" t="s">
        <v>278</v>
      </c>
    </row>
    <row r="17" spans="1:17" ht="15" customHeight="1" x14ac:dyDescent="0.25">
      <c r="A17" s="3">
        <v>8019</v>
      </c>
      <c r="B17" s="5" t="s">
        <v>279</v>
      </c>
      <c r="C17" s="199"/>
      <c r="D17" t="s">
        <v>532</v>
      </c>
      <c r="E17" s="5" t="str">
        <f t="shared" si="0"/>
        <v>RAL_8019_Graubraun</v>
      </c>
      <c r="F17" s="237" t="s">
        <v>574</v>
      </c>
      <c r="G17" s="5" t="str">
        <f t="shared" si="1"/>
        <v>&amp;H3A3A3F&amp;</v>
      </c>
      <c r="H17" s="5">
        <f t="shared" si="2"/>
        <v>18</v>
      </c>
      <c r="I17" s="238" t="str">
        <f t="shared" si="3"/>
        <v>Case RAL_8019_Graubraun:        s = "Graubraun"</v>
      </c>
      <c r="J17" s="238" t="str">
        <f t="shared" si="4"/>
        <v>Case RAL_8019_Graubraun:        n = 8019</v>
      </c>
      <c r="K17" s="238" t="str">
        <f t="shared" si="5"/>
        <v>Case 8019: c = RAL_8019_Graubraun</v>
      </c>
      <c r="L17" s="238" t="str">
        <f t="shared" si="6"/>
        <v>MColor.CIELab(31.46, 2.12, 1.1)</v>
      </c>
      <c r="M17" s="238" t="str">
        <f t="shared" si="7"/>
        <v>m_Arr(i) = TNamedRALColor("Graubraun", 8019, RALClassic.RAL_8019_Graubraun, MColor.CIELab(31.46, 2.12, 1.1)):             i = i + 1</v>
      </c>
      <c r="N17" s="7">
        <v>31.46</v>
      </c>
      <c r="O17" s="7">
        <v>2.12</v>
      </c>
      <c r="P17" s="7">
        <v>1.1000000000000001</v>
      </c>
      <c r="Q17" s="5"/>
    </row>
    <row r="18" spans="1:17" ht="15" customHeight="1" x14ac:dyDescent="0.25">
      <c r="A18" s="3">
        <v>8022</v>
      </c>
      <c r="B18" s="5" t="s">
        <v>280</v>
      </c>
      <c r="C18" s="200"/>
      <c r="D18" t="s">
        <v>533</v>
      </c>
      <c r="E18" s="5" t="str">
        <f t="shared" si="0"/>
        <v>RAL_8022_Schwarzbraun</v>
      </c>
      <c r="F18" s="237" t="s">
        <v>574</v>
      </c>
      <c r="G18" s="5" t="str">
        <f t="shared" si="1"/>
        <v>&amp;H201F21&amp;</v>
      </c>
      <c r="H18" s="5">
        <f t="shared" si="2"/>
        <v>21</v>
      </c>
      <c r="I18" s="238" t="str">
        <f t="shared" si="3"/>
        <v>Case RAL_8022_Schwarzbraun:     s = "Schwarzbraun"</v>
      </c>
      <c r="J18" s="238" t="str">
        <f t="shared" si="4"/>
        <v>Case RAL_8022_Schwarzbraun:     n = 8022</v>
      </c>
      <c r="K18" s="238" t="str">
        <f t="shared" si="5"/>
        <v>Case 8022: c = RAL_8022_Schwarzbraun</v>
      </c>
      <c r="L18" s="238" t="str">
        <f t="shared" si="6"/>
        <v>MColor.CIELab(25.08, 1.18, 0.67)</v>
      </c>
      <c r="M18" s="238" t="str">
        <f t="shared" si="7"/>
        <v>m_Arr(i) = TNamedRALColor("Schwarzbraun", 8022, RALClassic.RAL_8022_Schwarzbraun, MColor.CIELab(25.08, 1.18, 0.67)):      i = i + 1</v>
      </c>
      <c r="N18" s="7">
        <v>25.08</v>
      </c>
      <c r="O18" s="7">
        <v>1.18</v>
      </c>
      <c r="P18" s="7">
        <v>0.67</v>
      </c>
      <c r="Q18" s="5"/>
    </row>
    <row r="19" spans="1:17" ht="15" customHeight="1" x14ac:dyDescent="0.25">
      <c r="A19" s="3">
        <v>8023</v>
      </c>
      <c r="B19" s="5" t="s">
        <v>281</v>
      </c>
      <c r="C19" s="201"/>
      <c r="D19" t="s">
        <v>534</v>
      </c>
      <c r="E19" s="5" t="str">
        <f t="shared" si="0"/>
        <v>RAL_8023_Orangebraun</v>
      </c>
      <c r="F19" s="237" t="s">
        <v>574</v>
      </c>
      <c r="G19" s="5" t="str">
        <f t="shared" si="1"/>
        <v>&amp;H2F5EA6&amp;</v>
      </c>
      <c r="H19" s="5">
        <f t="shared" si="2"/>
        <v>20</v>
      </c>
      <c r="I19" s="238" t="str">
        <f t="shared" si="3"/>
        <v>Case RAL_8023_Orangebraun:      s = "Orangebraun"</v>
      </c>
      <c r="J19" s="238" t="str">
        <f t="shared" si="4"/>
        <v>Case RAL_8023_Orangebraun:      n = 8023</v>
      </c>
      <c r="K19" s="238" t="str">
        <f t="shared" si="5"/>
        <v>Case 8023: c = RAL_8023_Orangebraun</v>
      </c>
      <c r="L19" s="238" t="str">
        <f t="shared" si="6"/>
        <v>MColor.CIELab(49.37, 24.91, 30.25)</v>
      </c>
      <c r="M19" s="238" t="str">
        <f t="shared" si="7"/>
        <v>m_Arr(i) = TNamedRALColor("Orangebraun", 8023, RALClassic.RAL_8023_Orangebraun, MColor.CIELab(49.37, 24.91, 30.25)):      i = i + 1</v>
      </c>
      <c r="N19" s="7">
        <v>49.37</v>
      </c>
      <c r="O19" s="7">
        <v>24.91</v>
      </c>
      <c r="P19" s="7">
        <v>30.25</v>
      </c>
      <c r="Q19" s="5"/>
    </row>
    <row r="20" spans="1:17" ht="15" customHeight="1" x14ac:dyDescent="0.25">
      <c r="A20" s="3">
        <v>8024</v>
      </c>
      <c r="B20" s="5" t="s">
        <v>282</v>
      </c>
      <c r="C20" s="202"/>
      <c r="D20" t="s">
        <v>535</v>
      </c>
      <c r="E20" s="5" t="str">
        <f t="shared" si="0"/>
        <v>RAL_8024_Beigebraun</v>
      </c>
      <c r="F20" s="237" t="s">
        <v>574</v>
      </c>
      <c r="G20" s="5" t="str">
        <f t="shared" si="1"/>
        <v>&amp;H385076&amp;</v>
      </c>
      <c r="H20" s="5">
        <f t="shared" si="2"/>
        <v>19</v>
      </c>
      <c r="I20" s="238" t="str">
        <f t="shared" si="3"/>
        <v>Case RAL_8024_Beigebraun:       s = "Beigebraun"</v>
      </c>
      <c r="J20" s="238" t="str">
        <f t="shared" si="4"/>
        <v>Case RAL_8024_Beigebraun:       n = 8024</v>
      </c>
      <c r="K20" s="238" t="str">
        <f t="shared" si="5"/>
        <v>Case 8024: c = RAL_8024_Beigebraun</v>
      </c>
      <c r="L20" s="238" t="str">
        <f t="shared" si="6"/>
        <v>MColor.CIELab(38.04, 14.14, 20.82)</v>
      </c>
      <c r="M20" s="238" t="str">
        <f t="shared" si="7"/>
        <v>m_Arr(i) = TNamedRALColor("Beigebraun", 8024, RALClassic.RAL_8024_Beigebraun, MColor.CIELab(38.04, 14.14, 20.82)):        i = i + 1</v>
      </c>
      <c r="N20" s="7">
        <v>38.04</v>
      </c>
      <c r="O20" s="7">
        <v>14.14</v>
      </c>
      <c r="P20" s="7">
        <v>20.82</v>
      </c>
      <c r="Q20" s="5"/>
    </row>
    <row r="21" spans="1:17" ht="15" customHeight="1" x14ac:dyDescent="0.25">
      <c r="A21" s="3">
        <v>8025</v>
      </c>
      <c r="B21" s="5" t="s">
        <v>283</v>
      </c>
      <c r="C21" s="203"/>
      <c r="D21" t="s">
        <v>536</v>
      </c>
      <c r="E21" s="5" t="str">
        <f t="shared" si="0"/>
        <v>RAL_8025_Blassbraun</v>
      </c>
      <c r="F21" s="237" t="s">
        <v>574</v>
      </c>
      <c r="G21" s="5" t="str">
        <f t="shared" si="1"/>
        <v>&amp;H495C75&amp;</v>
      </c>
      <c r="H21" s="5">
        <f t="shared" si="2"/>
        <v>19</v>
      </c>
      <c r="I21" s="238" t="str">
        <f t="shared" si="3"/>
        <v>Case RAL_8025_Blassbraun:       s = "Blassbraun"</v>
      </c>
      <c r="J21" s="238" t="str">
        <f t="shared" si="4"/>
        <v>Case RAL_8025_Blassbraun:       n = 8025</v>
      </c>
      <c r="K21" s="238" t="str">
        <f t="shared" si="5"/>
        <v>Case 8025: c = RAL_8025_Blassbraun</v>
      </c>
      <c r="L21" s="238" t="str">
        <f t="shared" si="6"/>
        <v>MColor.CIELab(44, 7.95, 11.73)</v>
      </c>
      <c r="M21" s="238" t="str">
        <f t="shared" si="7"/>
        <v>m_Arr(i) = TNamedRALColor("Blassbraun", 8025, RALClassic.RAL_8025_Blassbraun, MColor.CIELab(44, 7.95, 11.73)):            i = i + 1</v>
      </c>
      <c r="N21" s="7">
        <v>44</v>
      </c>
      <c r="O21" s="7">
        <v>7.95</v>
      </c>
      <c r="P21" s="7">
        <v>11.73</v>
      </c>
      <c r="Q21" s="5"/>
    </row>
    <row r="22" spans="1:17" ht="15" customHeight="1" x14ac:dyDescent="0.25">
      <c r="A22" s="3">
        <v>8028</v>
      </c>
      <c r="B22" s="5" t="s">
        <v>284</v>
      </c>
      <c r="C22" s="204"/>
      <c r="D22" t="s">
        <v>537</v>
      </c>
      <c r="E22" s="5" t="str">
        <f t="shared" si="0"/>
        <v>RAL_8028_Terrabraun</v>
      </c>
      <c r="F22" s="237" t="s">
        <v>574</v>
      </c>
      <c r="G22" s="5" t="str">
        <f t="shared" si="1"/>
        <v>&amp;H2B3B4E&amp;</v>
      </c>
      <c r="H22" s="5">
        <f t="shared" si="2"/>
        <v>19</v>
      </c>
      <c r="I22" s="238" t="str">
        <f t="shared" si="3"/>
        <v>Case RAL_8028_Terrabraun:       s = "Terrabraun"</v>
      </c>
      <c r="J22" s="238" t="str">
        <f t="shared" si="4"/>
        <v>Case RAL_8028_Terrabraun:       n = 8028</v>
      </c>
      <c r="K22" s="238" t="str">
        <f t="shared" si="5"/>
        <v>Case 8028: c = RAL_8028_Terrabraun</v>
      </c>
      <c r="L22" s="238" t="str">
        <f t="shared" si="6"/>
        <v>MColor.CIELab(34.19, 5.72, 8.58)</v>
      </c>
      <c r="M22" s="238" t="str">
        <f t="shared" si="7"/>
        <v>m_Arr(i) = TNamedRALColor("Terrabraun", 8028, RALClassic.RAL_8028_Terrabraun, MColor.CIELab(34.19, 5.72, 8.58)):          i = i + 1</v>
      </c>
      <c r="N22" s="7">
        <v>34.19</v>
      </c>
      <c r="O22" s="7">
        <v>5.72</v>
      </c>
      <c r="P22" s="7">
        <v>8.58</v>
      </c>
      <c r="Q22" s="5"/>
    </row>
    <row r="23" spans="1:17" ht="15" customHeight="1" x14ac:dyDescent="0.25">
      <c r="A23" s="3">
        <v>8029</v>
      </c>
      <c r="B23" s="5" t="s">
        <v>285</v>
      </c>
      <c r="C23" s="205"/>
      <c r="D23" t="s">
        <v>538</v>
      </c>
      <c r="E23" s="5" t="str">
        <f t="shared" si="0"/>
        <v>RAL_8029_Perlkupfer</v>
      </c>
      <c r="F23" s="237" t="s">
        <v>574</v>
      </c>
      <c r="G23" s="5" t="str">
        <f t="shared" si="1"/>
        <v>&amp;H273C77&amp;</v>
      </c>
      <c r="H23" s="5">
        <f t="shared" si="2"/>
        <v>19</v>
      </c>
      <c r="I23" s="238" t="str">
        <f t="shared" si="3"/>
        <v>Case RAL_8029_Perlkupfer:       s = "Perlkupfer"</v>
      </c>
      <c r="J23" s="238" t="str">
        <f t="shared" si="4"/>
        <v>Case RAL_8029_Perlkupfer:       n = 8029</v>
      </c>
      <c r="K23" s="238" t="str">
        <f t="shared" si="5"/>
        <v>Case 8029: c = RAL_8029_Perlkupfer</v>
      </c>
      <c r="L23" s="238" t="str">
        <f t="shared" si="6"/>
        <v>MColor.CIELab(35.06, 25.58, 27.32)</v>
      </c>
      <c r="M23" s="238" t="str">
        <f t="shared" si="7"/>
        <v>m_Arr(i) = TNamedRALColor("Perlkupfer", 8029, RALClassic.RAL_8029_Perlkupfer, MColor.CIELab(35.06, 25.58, 27.32)):        i = i + 1</v>
      </c>
      <c r="N23" s="7">
        <v>35.06</v>
      </c>
      <c r="O23" s="7">
        <v>25.58</v>
      </c>
      <c r="P23" s="7">
        <v>27.32</v>
      </c>
      <c r="Q23" s="5"/>
    </row>
    <row r="24" spans="1:17" ht="15" customHeight="1" x14ac:dyDescent="0.25"/>
    <row r="25" spans="1:17" ht="15" customHeight="1" x14ac:dyDescent="0.25"/>
    <row r="26" spans="1:17" ht="15" customHeight="1" x14ac:dyDescent="0.25"/>
    <row r="27" spans="1:17" ht="15" customHeight="1" x14ac:dyDescent="0.25"/>
    <row r="28" spans="1:17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700-000000000000}"/>
    <hyperlink ref="N3" r:id="rId2" tooltip="Lab-Farbraum" display="https://de.wikipedia.org/wiki/Lab-Farbraum" xr:uid="{00000000-0004-0000-0700-000001000000}"/>
    <hyperlink ref="Q4" r:id="rId3" location="cite_note-FarbkarteB2-6" display="https://de.wikipedia.org/wiki/RAL-Farbe - cite_note-FarbkarteB2-6" xr:uid="{00000000-0004-0000-0700-000002000000}"/>
    <hyperlink ref="Q6" r:id="rId4" location="cite_note-FarbkarteB2-6" display="https://de.wikipedia.org/wiki/RAL-Farbe - cite_note-FarbkarteB2-6" xr:uid="{00000000-0004-0000-0700-000003000000}"/>
    <hyperlink ref="Q7" r:id="rId5" location="cite_note-FarbkarteB2-6" display="https://de.wikipedia.org/wiki/RAL-Farbe - cite_note-FarbkarteB2-6" xr:uid="{00000000-0004-0000-0700-000004000000}"/>
    <hyperlink ref="Q12" r:id="rId6" location="cite_note-FarbkarteB2-6" display="https://de.wikipedia.org/wiki/RAL-Farbe - cite_note-FarbkarteB2-6" xr:uid="{00000000-0004-0000-0700-000005000000}"/>
    <hyperlink ref="B13" r:id="rId7" tooltip="Sepia (Farbstoff)" display="https://de.wikipedia.org/wiki/Sepia_(Farbstoff)" xr:uid="{00000000-0004-0000-0700-000006000000}"/>
    <hyperlink ref="Q13" r:id="rId8" location="cite_note-FarbkarteB2-6" display="https://de.wikipedia.org/wiki/RAL-Farbe - cite_note-FarbkarteB2-6" xr:uid="{00000000-0004-0000-0700-000007000000}"/>
    <hyperlink ref="B15" r:id="rId9" tooltip="Mahagoni" display="https://de.wikipedia.org/wiki/Mahagoni" xr:uid="{00000000-0004-0000-0700-000008000000}"/>
    <hyperlink ref="Q16" r:id="rId10" location="cite_note-FarbkarteB2-6" display="https://de.wikipedia.org/wiki/RAL-Farbe - cite_note-FarbkarteB2-6" xr:uid="{00000000-0004-0000-0700-000009000000}"/>
  </hyperlinks>
  <pageMargins left="0.7" right="0.7" top="0.78740157499999996" bottom="0.78740157499999996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Q29"/>
  <sheetViews>
    <sheetView topLeftCell="L1" workbookViewId="0">
      <selection activeCell="L4" sqref="L4"/>
    </sheetView>
  </sheetViews>
  <sheetFormatPr baseColWidth="10" defaultRowHeight="15" x14ac:dyDescent="0.25"/>
  <cols>
    <col min="2" max="2" width="18.7109375" customWidth="1"/>
    <col min="3" max="4" width="15.7109375" customWidth="1"/>
    <col min="5" max="5" width="25.5703125" bestFit="1" customWidth="1"/>
    <col min="6" max="6" width="2" bestFit="1" customWidth="1"/>
    <col min="7" max="7" width="12.7109375" customWidth="1"/>
    <col min="8" max="8" width="6.7109375" customWidth="1"/>
    <col min="9" max="9" width="55.140625" bestFit="1" customWidth="1"/>
    <col min="10" max="10" width="41.85546875" bestFit="1" customWidth="1"/>
    <col min="11" max="11" width="40.7109375" bestFit="1" customWidth="1"/>
    <col min="12" max="12" width="40.7109375" customWidth="1"/>
    <col min="13" max="13" width="141.5703125" bestFit="1" customWidth="1"/>
    <col min="17" max="17" width="236.7109375" customWidth="1"/>
  </cols>
  <sheetData>
    <row r="1" spans="1:17" ht="18" x14ac:dyDescent="0.25">
      <c r="A1" s="2" t="s">
        <v>286</v>
      </c>
      <c r="M1" s="238" t="str">
        <f xml:space="preserve"> "MColor.CIELab(" &amp; SUBSTITUTE(O1, ",", ".") &amp; ", " &amp; SUBSTITUTE(P1, ",", ".") &amp; ", " &amp; SUBSTITUTE(Q1, ",", ".") &amp; ")"</f>
        <v>MColor.CIELab(, , )</v>
      </c>
    </row>
    <row r="3" spans="1:17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9001</v>
      </c>
      <c r="B4" s="5" t="s">
        <v>287</v>
      </c>
      <c r="C4" s="206"/>
      <c r="D4" t="s">
        <v>539</v>
      </c>
      <c r="E4" s="5" t="str">
        <f>"RAL" &amp; "_" &amp; A4 &amp; "_" &amp; B4</f>
        <v>RAL_9001_Cremeweiß</v>
      </c>
      <c r="F4" s="237" t="s">
        <v>574</v>
      </c>
      <c r="G4" s="5" t="str">
        <f>D4 &amp; "&amp;"</f>
        <v>&amp;HD2E0E9&amp;</v>
      </c>
      <c r="H4" s="5">
        <f>LEN(E4)</f>
        <v>18</v>
      </c>
      <c r="I4" s="238" t="str">
        <f>"Case "&amp; "RAL" &amp; "_"&amp; A4 &amp;"_"&amp;B4&amp;": "&amp;REPT(" ",25-LEN(E4))&amp;"s = """&amp;B4&amp;""""</f>
        <v>Case RAL_9001_Cremeweiß:        s = "Cremeweiß"</v>
      </c>
      <c r="J4" s="238" t="str">
        <f>"Case " &amp; "RAL" &amp; "_" &amp; A4 &amp;"_"&amp;B4&amp;": "&amp;REPT(" ",25-H4) &amp; "n = " &amp; A4</f>
        <v>Case RAL_9001_Cremeweiß:        n = 9001</v>
      </c>
      <c r="K4" s="238" t="str">
        <f>"Case " &amp; A4 &amp; ": c = " &amp; "RAL" &amp; "_" &amp; A4 &amp; "_" &amp; B4</f>
        <v>Case 9001: c = RAL_9001_Cremeweiß</v>
      </c>
      <c r="L4" s="238" t="str">
        <f xml:space="preserve"> "MColor.CIELab(" &amp; SUBSTITUTE(N4, ",", ".") &amp; ", " &amp; SUBSTITUTE(O4, ",", ".") &amp; ", " &amp; SUBSTITUTE(P4, ",", ".") &amp; ")"</f>
        <v>MColor.CIELab(92, 10, 9)</v>
      </c>
      <c r="M4" s="238" t="str">
        <f>"m_Arr(i) = TNamedRALColor(""" &amp; B4 &amp; """, " &amp; A4 &amp; ", RALClassic." &amp; E4 &amp; ", " &amp; L4 &amp; "): " &amp; REPT(" ", (81-LEN(L4))-2*H4) &amp; "i = i + 1"</f>
        <v>m_Arr(i) = TNamedRALColor("Cremeweiß", 9001, RALClassic.RAL_9001_Cremeweiß, MColor.CIELab(92, 10, 9)):                      i = i + 1</v>
      </c>
      <c r="N4" s="7">
        <v>92</v>
      </c>
      <c r="O4" s="7">
        <v>10</v>
      </c>
      <c r="P4" s="7">
        <v>9</v>
      </c>
      <c r="Q4" s="5"/>
    </row>
    <row r="5" spans="1:17" ht="15" customHeight="1" x14ac:dyDescent="0.25">
      <c r="A5" s="3">
        <v>9002</v>
      </c>
      <c r="B5" s="5" t="s">
        <v>288</v>
      </c>
      <c r="C5" s="207"/>
      <c r="D5" t="s">
        <v>540</v>
      </c>
      <c r="E5" s="5" t="str">
        <f t="shared" ref="E5:E19" si="0">"RAL" &amp; "_" &amp; A5 &amp; "_" &amp; B5</f>
        <v>RAL_9002_Grauweiß</v>
      </c>
      <c r="F5" s="237" t="s">
        <v>574</v>
      </c>
      <c r="G5" s="5" t="str">
        <f t="shared" ref="G5:G19" si="1">D5 &amp; "&amp;"</f>
        <v>&amp;HCBD5D7&amp;</v>
      </c>
      <c r="H5" s="5">
        <f t="shared" ref="H5:H19" si="2">LEN(E5)</f>
        <v>17</v>
      </c>
      <c r="I5" s="238" t="str">
        <f t="shared" ref="I5:I19" si="3">"Case "&amp; "RAL" &amp; "_"&amp; A5 &amp;"_"&amp;B5&amp;": "&amp;REPT(" ",25-LEN(E5))&amp;"s = """&amp;B5&amp;""""</f>
        <v>Case RAL_9002_Grauweiß:         s = "Grauweiß"</v>
      </c>
      <c r="J5" s="238" t="str">
        <f t="shared" ref="J5:J19" si="4">"Case " &amp; "RAL" &amp; "_" &amp; A5 &amp;"_"&amp;B5&amp;": "&amp;REPT(" ",25-H5) &amp; "n = " &amp; A5</f>
        <v>Case RAL_9002_Grauweiß:         n = 9002</v>
      </c>
      <c r="K5" s="238" t="str">
        <f t="shared" ref="K5:K19" si="5">"Case " &amp; A5 &amp; ": c = " &amp; "RAL" &amp; "_" &amp; A5 &amp; "_" &amp; B5</f>
        <v>Case 9002: c = RAL_9002_Grauweiß</v>
      </c>
      <c r="L5" s="238" t="str">
        <f t="shared" ref="L5:L19" si="6" xml:space="preserve"> "MColor.CIELab(" &amp; SUBSTITUTE(N5, ",", ".") &amp; ", " &amp; SUBSTITUTE(O5, ",", ".") &amp; ", " &amp; SUBSTITUTE(P5, ",", ".") &amp; ")"</f>
        <v>MColor.CIELab(88, 0, 4)</v>
      </c>
      <c r="M5" s="238" t="str">
        <f t="shared" ref="M5:M19" si="7">"m_Arr(i) = TNamedRALColor(""" &amp; B5 &amp; """, " &amp; A5 &amp; ", RALClassic." &amp; E5 &amp; ", " &amp; L5 &amp; "): " &amp; REPT(" ", (81-LEN(L5))-2*H5) &amp; "i = i + 1"</f>
        <v>m_Arr(i) = TNamedRALColor("Grauweiß", 9002, RALClassic.RAL_9002_Grauweiß, MColor.CIELab(88, 0, 4)):                         i = i + 1</v>
      </c>
      <c r="N5" s="7">
        <v>88</v>
      </c>
      <c r="O5" s="7">
        <v>0</v>
      </c>
      <c r="P5" s="7">
        <v>4</v>
      </c>
      <c r="Q5" s="8" t="s">
        <v>289</v>
      </c>
    </row>
    <row r="6" spans="1:17" ht="15" customHeight="1" x14ac:dyDescent="0.25">
      <c r="A6" s="3">
        <v>9003</v>
      </c>
      <c r="B6" s="5" t="s">
        <v>290</v>
      </c>
      <c r="C6" s="208"/>
      <c r="D6" t="s">
        <v>541</v>
      </c>
      <c r="E6" s="5" t="str">
        <f t="shared" si="0"/>
        <v>RAL_9003_Signalweiß</v>
      </c>
      <c r="F6" s="237" t="s">
        <v>574</v>
      </c>
      <c r="G6" s="5" t="str">
        <f t="shared" si="1"/>
        <v>&amp;HF4F8F4&amp;</v>
      </c>
      <c r="H6" s="5">
        <f t="shared" si="2"/>
        <v>19</v>
      </c>
      <c r="I6" s="238" t="str">
        <f t="shared" si="3"/>
        <v>Case RAL_9003_Signalweiß:       s = "Signalweiß"</v>
      </c>
      <c r="J6" s="238" t="str">
        <f t="shared" si="4"/>
        <v>Case RAL_9003_Signalweiß:       n = 9003</v>
      </c>
      <c r="K6" s="238" t="str">
        <f t="shared" si="5"/>
        <v>Case 9003: c = RAL_9003_Signalweiß</v>
      </c>
      <c r="L6" s="238" t="str">
        <f t="shared" si="6"/>
        <v>MColor.CIELab(94.13, -0.55, 0.81)</v>
      </c>
      <c r="M6" s="238" t="str">
        <f t="shared" si="7"/>
        <v>m_Arr(i) = TNamedRALColor("Signalweiß", 9003, RALClassic.RAL_9003_Signalweiß, MColor.CIELab(94.13, -0.55, 0.81)):           i = i + 1</v>
      </c>
      <c r="N6" s="7">
        <v>94.13</v>
      </c>
      <c r="O6" s="7">
        <v>-0.55000000000000004</v>
      </c>
      <c r="P6" s="7">
        <v>0.81</v>
      </c>
      <c r="Q6" s="5"/>
    </row>
    <row r="7" spans="1:17" ht="15" customHeight="1" x14ac:dyDescent="0.25">
      <c r="A7" s="3">
        <v>9004</v>
      </c>
      <c r="B7" s="5" t="s">
        <v>291</v>
      </c>
      <c r="C7" s="209"/>
      <c r="D7" t="s">
        <v>542</v>
      </c>
      <c r="E7" s="5" t="str">
        <f t="shared" si="0"/>
        <v>RAL_9004_Signalschwarz</v>
      </c>
      <c r="F7" s="237" t="s">
        <v>574</v>
      </c>
      <c r="G7" s="5" t="str">
        <f t="shared" si="1"/>
        <v>&amp;H32302E&amp;</v>
      </c>
      <c r="H7" s="5">
        <f t="shared" si="2"/>
        <v>22</v>
      </c>
      <c r="I7" s="238" t="str">
        <f t="shared" si="3"/>
        <v>Case RAL_9004_Signalschwarz:    s = "Signalschwarz"</v>
      </c>
      <c r="J7" s="238" t="str">
        <f t="shared" si="4"/>
        <v>Case RAL_9004_Signalschwarz:    n = 9004</v>
      </c>
      <c r="K7" s="238" t="str">
        <f t="shared" si="5"/>
        <v>Case 9004: c = RAL_9004_Signalschwarz</v>
      </c>
      <c r="L7" s="238" t="str">
        <f t="shared" si="6"/>
        <v>MColor.CIELab(28.66, 0.24, -0.66)</v>
      </c>
      <c r="M7" s="238" t="str">
        <f t="shared" si="7"/>
        <v>m_Arr(i) = TNamedRALColor("Signalschwarz", 9004, RALClassic.RAL_9004_Signalschwarz, MColor.CIELab(28.66, 0.24, -0.66)):     i = i + 1</v>
      </c>
      <c r="N7" s="7">
        <v>28.66</v>
      </c>
      <c r="O7" s="7">
        <v>0.24</v>
      </c>
      <c r="P7" s="7">
        <v>-0.66</v>
      </c>
      <c r="Q7" s="5"/>
    </row>
    <row r="8" spans="1:17" ht="15" customHeight="1" x14ac:dyDescent="0.25">
      <c r="A8" s="3">
        <v>9005</v>
      </c>
      <c r="B8" s="5" t="s">
        <v>292</v>
      </c>
      <c r="C8" s="210"/>
      <c r="D8" t="s">
        <v>543</v>
      </c>
      <c r="E8" s="5" t="str">
        <f t="shared" si="0"/>
        <v>RAL_9005_Tiefschwarz</v>
      </c>
      <c r="F8" s="237" t="s">
        <v>574</v>
      </c>
      <c r="G8" s="5" t="str">
        <f t="shared" si="1"/>
        <v>&amp;H100E0E&amp;</v>
      </c>
      <c r="H8" s="5">
        <f t="shared" si="2"/>
        <v>20</v>
      </c>
      <c r="I8" s="238" t="str">
        <f t="shared" si="3"/>
        <v>Case RAL_9005_Tiefschwarz:      s = "Tiefschwarz"</v>
      </c>
      <c r="J8" s="238" t="str">
        <f t="shared" si="4"/>
        <v>Case RAL_9005_Tiefschwarz:      n = 9005</v>
      </c>
      <c r="K8" s="238" t="str">
        <f t="shared" si="5"/>
        <v>Case 9005: c = RAL_9005_Tiefschwarz</v>
      </c>
      <c r="L8" s="238" t="str">
        <f t="shared" si="6"/>
        <v>MColor.CIELab(5, 0, -2)</v>
      </c>
      <c r="M8" s="238" t="str">
        <f t="shared" si="7"/>
        <v>m_Arr(i) = TNamedRALColor("Tiefschwarz", 9005, RALClassic.RAL_9005_Tiefschwarz, MColor.CIELab(5, 0, -2)):                   i = i + 1</v>
      </c>
      <c r="N8" s="7">
        <v>5</v>
      </c>
      <c r="O8" s="7">
        <v>0</v>
      </c>
      <c r="P8" s="7">
        <v>-2</v>
      </c>
      <c r="Q8" s="5" t="s">
        <v>293</v>
      </c>
    </row>
    <row r="9" spans="1:17" ht="15" customHeight="1" x14ac:dyDescent="0.25">
      <c r="A9" s="3">
        <v>9006</v>
      </c>
      <c r="B9" s="5" t="s">
        <v>294</v>
      </c>
      <c r="C9" s="211"/>
      <c r="D9" t="s">
        <v>544</v>
      </c>
      <c r="E9" s="5" t="str">
        <f t="shared" si="0"/>
        <v>RAL_9006_Weißaluminium</v>
      </c>
      <c r="F9" s="237" t="s">
        <v>574</v>
      </c>
      <c r="G9" s="5" t="str">
        <f t="shared" si="1"/>
        <v>&amp;HA0A1A1&amp;</v>
      </c>
      <c r="H9" s="5">
        <f t="shared" si="2"/>
        <v>22</v>
      </c>
      <c r="I9" s="238" t="str">
        <f t="shared" si="3"/>
        <v>Case RAL_9006_Weißaluminium:    s = "Weißaluminium"</v>
      </c>
      <c r="J9" s="238" t="str">
        <f t="shared" si="4"/>
        <v>Case RAL_9006_Weißaluminium:    n = 9006</v>
      </c>
      <c r="K9" s="238" t="str">
        <f t="shared" si="5"/>
        <v>Case 9006: c = RAL_9006_Weißaluminium</v>
      </c>
      <c r="L9" s="238" t="str">
        <f t="shared" si="6"/>
        <v>MColor.CIELab(72, 0, 0)</v>
      </c>
      <c r="M9" s="238" t="str">
        <f t="shared" si="7"/>
        <v>m_Arr(i) = TNamedRALColor("Weißaluminium", 9006, RALClassic.RAL_9006_Weißaluminium, MColor.CIELab(72, 0, 0)):               i = i + 1</v>
      </c>
      <c r="N9" s="7">
        <v>72</v>
      </c>
      <c r="O9" s="7">
        <v>0</v>
      </c>
      <c r="P9" s="7">
        <v>0</v>
      </c>
      <c r="Q9" s="5" t="s">
        <v>295</v>
      </c>
    </row>
    <row r="10" spans="1:17" ht="15" customHeight="1" x14ac:dyDescent="0.25">
      <c r="A10" s="3">
        <v>9007</v>
      </c>
      <c r="B10" s="5" t="s">
        <v>296</v>
      </c>
      <c r="C10" s="212"/>
      <c r="D10" t="s">
        <v>545</v>
      </c>
      <c r="E10" s="5" t="str">
        <f t="shared" si="0"/>
        <v>RAL_9007_Graualuminium</v>
      </c>
      <c r="F10" s="237" t="s">
        <v>574</v>
      </c>
      <c r="G10" s="5" t="str">
        <f t="shared" si="1"/>
        <v>&amp;H838687&amp;</v>
      </c>
      <c r="H10" s="5">
        <f t="shared" si="2"/>
        <v>22</v>
      </c>
      <c r="I10" s="238" t="str">
        <f t="shared" si="3"/>
        <v>Case RAL_9007_Graualuminium:    s = "Graualuminium"</v>
      </c>
      <c r="J10" s="238" t="str">
        <f t="shared" si="4"/>
        <v>Case RAL_9007_Graualuminium:    n = 9007</v>
      </c>
      <c r="K10" s="238" t="str">
        <f t="shared" si="5"/>
        <v>Case 9007: c = RAL_9007_Graualuminium</v>
      </c>
      <c r="L10" s="238" t="str">
        <f t="shared" si="6"/>
        <v>MColor.CIELab(55.55, -0.06, 2.14)</v>
      </c>
      <c r="M10" s="238" t="str">
        <f t="shared" si="7"/>
        <v>m_Arr(i) = TNamedRALColor("Graualuminium", 9007, RALClassic.RAL_9007_Graualuminium, MColor.CIELab(55.55, -0.06, 2.14)):     i = i + 1</v>
      </c>
      <c r="N10" s="7">
        <v>55.55</v>
      </c>
      <c r="O10" s="5">
        <v>-0.06</v>
      </c>
      <c r="P10" s="7">
        <v>2.14</v>
      </c>
      <c r="Q10" s="8" t="s">
        <v>297</v>
      </c>
    </row>
    <row r="11" spans="1:17" ht="15" customHeight="1" x14ac:dyDescent="0.25">
      <c r="A11" s="3">
        <v>9010</v>
      </c>
      <c r="B11" s="5" t="s">
        <v>298</v>
      </c>
      <c r="C11" s="213"/>
      <c r="D11" t="s">
        <v>546</v>
      </c>
      <c r="E11" s="5" t="str">
        <f t="shared" si="0"/>
        <v>RAL_9010_Reinweiß</v>
      </c>
      <c r="F11" s="237" t="s">
        <v>574</v>
      </c>
      <c r="G11" s="5" t="str">
        <f t="shared" si="1"/>
        <v>&amp;HEFF9F7&amp;</v>
      </c>
      <c r="H11" s="5">
        <f t="shared" si="2"/>
        <v>17</v>
      </c>
      <c r="I11" s="238" t="str">
        <f t="shared" si="3"/>
        <v>Case RAL_9010_Reinweiß:         s = "Reinweiß"</v>
      </c>
      <c r="J11" s="238" t="str">
        <f t="shared" si="4"/>
        <v>Case RAL_9010_Reinweiß:         n = 9010</v>
      </c>
      <c r="K11" s="238" t="str">
        <f t="shared" si="5"/>
        <v>Case 9010: c = RAL_9010_Reinweiß</v>
      </c>
      <c r="L11" s="238" t="str">
        <f t="shared" si="6"/>
        <v>MColor.CIELab(94.57, -0.47, 4.14)</v>
      </c>
      <c r="M11" s="238" t="str">
        <f t="shared" si="7"/>
        <v>m_Arr(i) = TNamedRALColor("Reinweiß", 9010, RALClassic.RAL_9010_Reinweiß, MColor.CIELab(94.57, -0.47, 4.14)):               i = i + 1</v>
      </c>
      <c r="N11" s="7">
        <v>94.57</v>
      </c>
      <c r="O11" s="7">
        <v>-0.47</v>
      </c>
      <c r="P11" s="7">
        <v>4.1399999999999997</v>
      </c>
      <c r="Q11" s="5"/>
    </row>
    <row r="12" spans="1:17" ht="15" customHeight="1" x14ac:dyDescent="0.25">
      <c r="A12" s="3">
        <v>9011</v>
      </c>
      <c r="B12" s="5" t="s">
        <v>299</v>
      </c>
      <c r="C12" s="214"/>
      <c r="D12" t="s">
        <v>547</v>
      </c>
      <c r="E12" s="5" t="str">
        <f t="shared" si="0"/>
        <v>RAL_9011_Graphitschwarz</v>
      </c>
      <c r="F12" s="237" t="s">
        <v>574</v>
      </c>
      <c r="G12" s="5" t="str">
        <f t="shared" si="1"/>
        <v>&amp;H2F2C29&amp;</v>
      </c>
      <c r="H12" s="5">
        <f t="shared" si="2"/>
        <v>23</v>
      </c>
      <c r="I12" s="238" t="str">
        <f t="shared" si="3"/>
        <v>Case RAL_9011_Graphitschwarz:   s = "Graphitschwarz"</v>
      </c>
      <c r="J12" s="238" t="str">
        <f t="shared" si="4"/>
        <v>Case RAL_9011_Graphitschwarz:   n = 9011</v>
      </c>
      <c r="K12" s="238" t="str">
        <f t="shared" si="5"/>
        <v>Case 9011: c = RAL_9011_Graphitschwarz</v>
      </c>
      <c r="L12" s="238" t="str">
        <f t="shared" si="6"/>
        <v>MColor.CIELab(26.54, -0.05, -1.13)</v>
      </c>
      <c r="M12" s="238" t="str">
        <f t="shared" si="7"/>
        <v>m_Arr(i) = TNamedRALColor("Graphitschwarz", 9011, RALClassic.RAL_9011_Graphitschwarz, MColor.CIELab(26.54, -0.05, -1.13)):  i = i + 1</v>
      </c>
      <c r="N12" s="7">
        <v>26.54</v>
      </c>
      <c r="O12" s="7">
        <v>-0.05</v>
      </c>
      <c r="P12" s="7">
        <v>-1.1299999999999999</v>
      </c>
      <c r="Q12" s="5"/>
    </row>
    <row r="13" spans="1:17" ht="15" customHeight="1" x14ac:dyDescent="0.25">
      <c r="A13" s="3">
        <v>9012</v>
      </c>
      <c r="B13" s="5" t="s">
        <v>300</v>
      </c>
      <c r="C13" s="215"/>
      <c r="D13" t="s">
        <v>548</v>
      </c>
      <c r="E13" s="5" t="str">
        <f t="shared" si="0"/>
        <v>RAL_9012_Reinraumweiß</v>
      </c>
      <c r="F13" s="237" t="s">
        <v>574</v>
      </c>
      <c r="G13" s="5" t="str">
        <f t="shared" si="1"/>
        <v>&amp;HE6FDFF&amp;</v>
      </c>
      <c r="H13" s="5">
        <f t="shared" si="2"/>
        <v>21</v>
      </c>
      <c r="I13" s="238" t="str">
        <f t="shared" si="3"/>
        <v>Case RAL_9012_Reinraumweiß:     s = "Reinraumweiß"</v>
      </c>
      <c r="J13" s="238" t="str">
        <f t="shared" si="4"/>
        <v>Case RAL_9012_Reinraumweiß:     n = 9012</v>
      </c>
      <c r="K13" s="238" t="str">
        <f t="shared" si="5"/>
        <v>Case 9012: c = RAL_9012_Reinraumweiß</v>
      </c>
      <c r="L13" s="238" t="str">
        <f t="shared" si="6"/>
        <v>MColor.CIELab(98.92, -3.16, 11.24)</v>
      </c>
      <c r="M13" s="238" t="str">
        <f t="shared" si="7"/>
        <v>m_Arr(i) = TNamedRALColor("Reinraumweiß", 9012, RALClassic.RAL_9012_Reinraumweiß, MColor.CIELab(98.92, -3.16, 11.24)):      i = i + 1</v>
      </c>
      <c r="N13" s="7">
        <v>98.92</v>
      </c>
      <c r="O13" s="7">
        <v>-3.16</v>
      </c>
      <c r="P13" s="7">
        <v>11.24</v>
      </c>
      <c r="Q13" s="8" t="s">
        <v>301</v>
      </c>
    </row>
    <row r="14" spans="1:17" ht="15" customHeight="1" x14ac:dyDescent="0.25">
      <c r="A14" s="3">
        <v>9016</v>
      </c>
      <c r="B14" s="5" t="s">
        <v>302</v>
      </c>
      <c r="C14" s="216"/>
      <c r="D14" t="s">
        <v>549</v>
      </c>
      <c r="E14" s="5" t="str">
        <f t="shared" si="0"/>
        <v>RAL_9016_Verkehrsweiß</v>
      </c>
      <c r="F14" s="237" t="s">
        <v>574</v>
      </c>
      <c r="G14" s="5" t="str">
        <f t="shared" si="1"/>
        <v>&amp;HF5FBF7&amp;</v>
      </c>
      <c r="H14" s="5">
        <f t="shared" si="2"/>
        <v>21</v>
      </c>
      <c r="I14" s="238" t="str">
        <f t="shared" si="3"/>
        <v>Case RAL_9016_Verkehrsweiß:     s = "Verkehrsweiß"</v>
      </c>
      <c r="J14" s="238" t="str">
        <f t="shared" si="4"/>
        <v>Case RAL_9016_Verkehrsweiß:     n = 9016</v>
      </c>
      <c r="K14" s="238" t="str">
        <f t="shared" si="5"/>
        <v>Case 9016: c = RAL_9016_Verkehrsweiß</v>
      </c>
      <c r="L14" s="238" t="str">
        <f t="shared" si="6"/>
        <v>MColor.CIELab(95.26, -0.76, 2.11)</v>
      </c>
      <c r="M14" s="238" t="str">
        <f t="shared" si="7"/>
        <v>m_Arr(i) = TNamedRALColor("Verkehrsweiß", 9016, RALClassic.RAL_9016_Verkehrsweiß, MColor.CIELab(95.26, -0.76, 2.11)):       i = i + 1</v>
      </c>
      <c r="N14" s="7">
        <v>95.26</v>
      </c>
      <c r="O14" s="7">
        <v>-0.76</v>
      </c>
      <c r="P14" s="7">
        <v>2.11</v>
      </c>
      <c r="Q14" s="5"/>
    </row>
    <row r="15" spans="1:17" ht="15" customHeight="1" x14ac:dyDescent="0.25">
      <c r="A15" s="3">
        <v>9017</v>
      </c>
      <c r="B15" s="5" t="s">
        <v>303</v>
      </c>
      <c r="C15" s="217"/>
      <c r="D15" t="s">
        <v>550</v>
      </c>
      <c r="E15" s="5" t="str">
        <f t="shared" si="0"/>
        <v>RAL_9017_Verkehrsschwarz</v>
      </c>
      <c r="F15" s="237" t="s">
        <v>574</v>
      </c>
      <c r="G15" s="5" t="str">
        <f t="shared" si="1"/>
        <v>&amp;H2F2D2A&amp;</v>
      </c>
      <c r="H15" s="5">
        <f t="shared" si="2"/>
        <v>24</v>
      </c>
      <c r="I15" s="238" t="str">
        <f t="shared" si="3"/>
        <v>Case RAL_9017_Verkehrsschwarz:  s = "Verkehrsschwarz"</v>
      </c>
      <c r="J15" s="238" t="str">
        <f t="shared" si="4"/>
        <v>Case RAL_9017_Verkehrsschwarz:  n = 9017</v>
      </c>
      <c r="K15" s="238" t="str">
        <f t="shared" si="5"/>
        <v>Case 9017: c = RAL_9017_Verkehrsschwarz</v>
      </c>
      <c r="L15" s="238" t="str">
        <f t="shared" si="6"/>
        <v>MColor.CIELab(27.25, 0.44, 0.51)</v>
      </c>
      <c r="M15" s="238" t="str">
        <f t="shared" si="7"/>
        <v>m_Arr(i) = TNamedRALColor("Verkehrsschwarz", 9017, RALClassic.RAL_9017_Verkehrsschwarz, MColor.CIELab(27.25, 0.44, 0.51)):  i = i + 1</v>
      </c>
      <c r="N15" s="7">
        <v>27.25</v>
      </c>
      <c r="O15" s="7">
        <v>0.44</v>
      </c>
      <c r="P15" s="7">
        <v>0.51</v>
      </c>
      <c r="Q15" s="5"/>
    </row>
    <row r="16" spans="1:17" ht="15" customHeight="1" x14ac:dyDescent="0.25">
      <c r="A16" s="3">
        <v>9018</v>
      </c>
      <c r="B16" s="5" t="s">
        <v>304</v>
      </c>
      <c r="C16" s="218"/>
      <c r="D16" t="s">
        <v>551</v>
      </c>
      <c r="E16" s="5" t="str">
        <f t="shared" si="0"/>
        <v>RAL_9018_Papyrusweiß</v>
      </c>
      <c r="F16" s="237" t="s">
        <v>574</v>
      </c>
      <c r="G16" s="5" t="str">
        <f t="shared" si="1"/>
        <v>&amp;HC3CAC7&amp;</v>
      </c>
      <c r="H16" s="5">
        <f t="shared" si="2"/>
        <v>20</v>
      </c>
      <c r="I16" s="238" t="str">
        <f t="shared" si="3"/>
        <v>Case RAL_9018_Papyrusweiß:      s = "Papyrusweiß"</v>
      </c>
      <c r="J16" s="238" t="str">
        <f t="shared" si="4"/>
        <v>Case RAL_9018_Papyrusweiß:      n = 9018</v>
      </c>
      <c r="K16" s="238" t="str">
        <f t="shared" si="5"/>
        <v>Case 9018: c = RAL_9018_Papyrusweiß</v>
      </c>
      <c r="L16" s="238" t="str">
        <f t="shared" si="6"/>
        <v>MColor.CIELab(81.34, -2.29, 2.96)</v>
      </c>
      <c r="M16" s="238" t="str">
        <f t="shared" si="7"/>
        <v>m_Arr(i) = TNamedRALColor("Papyrusweiß", 9018, RALClassic.RAL_9018_Papyrusweiß, MColor.CIELab(81.34, -2.29, 2.96)):         i = i + 1</v>
      </c>
      <c r="N16" s="7">
        <v>81.34</v>
      </c>
      <c r="O16" s="7">
        <v>-2.29</v>
      </c>
      <c r="P16" s="7">
        <v>2.96</v>
      </c>
      <c r="Q16" s="5"/>
    </row>
    <row r="17" spans="1:17" ht="15" customHeight="1" x14ac:dyDescent="0.25">
      <c r="A17" s="3">
        <v>9022</v>
      </c>
      <c r="B17" s="5" t="s">
        <v>305</v>
      </c>
      <c r="C17" s="219"/>
      <c r="D17" t="s">
        <v>552</v>
      </c>
      <c r="E17" s="5" t="str">
        <f t="shared" si="0"/>
        <v>RAL_9022_Perlhellgrau</v>
      </c>
      <c r="F17" s="237" t="s">
        <v>574</v>
      </c>
      <c r="G17" s="5" t="str">
        <f t="shared" si="1"/>
        <v>&amp;H9C9C9C&amp;</v>
      </c>
      <c r="H17" s="5">
        <f t="shared" si="2"/>
        <v>21</v>
      </c>
      <c r="I17" s="238" t="str">
        <f t="shared" si="3"/>
        <v>Case RAL_9022_Perlhellgrau:     s = "Perlhellgrau"</v>
      </c>
      <c r="J17" s="238" t="str">
        <f t="shared" si="4"/>
        <v>Case RAL_9022_Perlhellgrau:     n = 9022</v>
      </c>
      <c r="K17" s="238" t="str">
        <f t="shared" si="5"/>
        <v>Case 9022: c = RAL_9022_Perlhellgrau</v>
      </c>
      <c r="L17" s="238" t="str">
        <f t="shared" si="6"/>
        <v>MColor.CIELab(65.38, -0.43, 0.34)</v>
      </c>
      <c r="M17" s="238" t="str">
        <f t="shared" si="7"/>
        <v>m_Arr(i) = TNamedRALColor("Perlhellgrau", 9022, RALClassic.RAL_9022_Perlhellgrau, MColor.CIELab(65.38, -0.43, 0.34)):       i = i + 1</v>
      </c>
      <c r="N17" s="7">
        <v>65.38</v>
      </c>
      <c r="O17" s="7">
        <v>-0.43</v>
      </c>
      <c r="P17" s="7">
        <v>0.34</v>
      </c>
      <c r="Q17" s="5"/>
    </row>
    <row r="18" spans="1:17" ht="15" customHeight="1" x14ac:dyDescent="0.25">
      <c r="A18" s="3">
        <v>9023</v>
      </c>
      <c r="B18" s="5" t="s">
        <v>306</v>
      </c>
      <c r="C18" s="220"/>
      <c r="D18" t="s">
        <v>553</v>
      </c>
      <c r="E18" s="5" t="str">
        <f t="shared" si="0"/>
        <v>RAL_9023_Perldunkelgrau</v>
      </c>
      <c r="F18" s="237" t="s">
        <v>574</v>
      </c>
      <c r="G18" s="5" t="str">
        <f t="shared" si="1"/>
        <v>&amp;H82817E&amp;</v>
      </c>
      <c r="H18" s="5">
        <f t="shared" si="2"/>
        <v>23</v>
      </c>
      <c r="I18" s="238" t="str">
        <f t="shared" si="3"/>
        <v>Case RAL_9023_Perldunkelgrau:   s = "Perldunkelgrau"</v>
      </c>
      <c r="J18" s="238" t="str">
        <f t="shared" si="4"/>
        <v>Case RAL_9023_Perldunkelgrau:   n = 9023</v>
      </c>
      <c r="K18" s="238" t="str">
        <f t="shared" si="5"/>
        <v>Case 9023: c = RAL_9023_Perldunkelgrau</v>
      </c>
      <c r="L18" s="238" t="str">
        <f t="shared" si="6"/>
        <v>MColor.CIELab(57.32, -0.31, -0.98)</v>
      </c>
      <c r="M18" s="238" t="str">
        <f t="shared" si="7"/>
        <v>m_Arr(i) = TNamedRALColor("Perldunkelgrau", 9023, RALClassic.RAL_9023_Perldunkelgrau, MColor.CIELab(57.32, -0.31, -0.98)):  i = i + 1</v>
      </c>
      <c r="N18" s="7">
        <v>57.32</v>
      </c>
      <c r="O18" s="7">
        <v>-0.31</v>
      </c>
      <c r="P18" s="7">
        <v>-0.98</v>
      </c>
      <c r="Q18" s="5"/>
    </row>
    <row r="19" spans="1:17" ht="15" customHeight="1" x14ac:dyDescent="0.25">
      <c r="A19" s="3">
        <v>9020</v>
      </c>
      <c r="B19" s="5" t="s">
        <v>572</v>
      </c>
      <c r="C19" s="221"/>
      <c r="D19" t="s">
        <v>554</v>
      </c>
      <c r="E19" s="5" t="str">
        <f t="shared" si="0"/>
        <v>RAL_9020_SeidenmattWeiß</v>
      </c>
      <c r="F19" s="237" t="s">
        <v>574</v>
      </c>
      <c r="G19" s="5" t="str">
        <f t="shared" si="1"/>
        <v>&amp;HFDFDFD&amp;</v>
      </c>
      <c r="H19" s="5">
        <f t="shared" si="2"/>
        <v>23</v>
      </c>
      <c r="I19" s="238" t="str">
        <f t="shared" si="3"/>
        <v>Case RAL_9020_SeidenmattWeiß:   s = "SeidenmattWeiß"</v>
      </c>
      <c r="J19" s="238" t="str">
        <f t="shared" si="4"/>
        <v>Case RAL_9020_SeidenmattWeiß:   n = 9020</v>
      </c>
      <c r="K19" s="238" t="str">
        <f t="shared" si="5"/>
        <v>Case 9020: c = RAL_9020_SeidenmattWeiß</v>
      </c>
      <c r="L19" s="238" t="str">
        <f t="shared" si="6"/>
        <v>MColor.CIELab(99.31, 0.412, -0.97)</v>
      </c>
      <c r="M19" s="238" t="str">
        <f t="shared" si="7"/>
        <v>m_Arr(i) = TNamedRALColor("SeidenmattWeiß", 9020, RALClassic.RAL_9020_SeidenmattWeiß, MColor.CIELab(99.31, 0.412, -0.97)):  i = i + 1</v>
      </c>
      <c r="N19" s="7">
        <v>99.31</v>
      </c>
      <c r="O19">
        <v>0.41199999999999998</v>
      </c>
      <c r="P19">
        <v>-0.97</v>
      </c>
      <c r="Q19" s="5" t="s">
        <v>307</v>
      </c>
    </row>
    <row r="20" spans="1:17" ht="15" customHeight="1" x14ac:dyDescent="0.25"/>
    <row r="21" spans="1:17" ht="15" customHeight="1" x14ac:dyDescent="0.25"/>
    <row r="22" spans="1:17" ht="15" customHeight="1" x14ac:dyDescent="0.25"/>
    <row r="23" spans="1:17" ht="15" customHeight="1" x14ac:dyDescent="0.25"/>
    <row r="24" spans="1:17" ht="15" customHeight="1" x14ac:dyDescent="0.25"/>
    <row r="25" spans="1:17" ht="15" customHeight="1" x14ac:dyDescent="0.25"/>
    <row r="26" spans="1:17" ht="15" customHeight="1" x14ac:dyDescent="0.25"/>
    <row r="27" spans="1:17" ht="15" customHeight="1" x14ac:dyDescent="0.25"/>
    <row r="28" spans="1:17" ht="15" customHeight="1" x14ac:dyDescent="0.25"/>
    <row r="29" spans="1:17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800-000000000000}"/>
    <hyperlink ref="N3" r:id="rId2" tooltip="Lab-Farbraum" display="https://de.wikipedia.org/wiki/Lab-Farbraum" xr:uid="{00000000-0004-0000-0800-000001000000}"/>
    <hyperlink ref="Q5" r:id="rId3" location="cite_note-FarbkarteB2-6" display="https://de.wikipedia.org/wiki/RAL-Farbe - cite_note-FarbkarteB2-6" xr:uid="{00000000-0004-0000-0800-000002000000}"/>
    <hyperlink ref="Q10" r:id="rId4" location="cite_note-RAL900607-18" display="https://de.wikipedia.org/wiki/RAL-Farbe - cite_note-RAL900607-18" xr:uid="{00000000-0004-0000-0800-000003000000}"/>
    <hyperlink ref="Q13" r:id="rId5" location="cite_note-19" display="https://de.wikipedia.org/wiki/RAL-Farbe - cite_note-19" xr:uid="{00000000-0004-0000-0800-000004000000}"/>
  </hyperlinks>
  <pageMargins left="0.7" right="0.7" top="0.78740157499999996" bottom="0.78740157499999996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Q53"/>
  <sheetViews>
    <sheetView workbookViewId="0"/>
  </sheetViews>
  <sheetFormatPr baseColWidth="10" defaultRowHeight="15" x14ac:dyDescent="0.25"/>
  <cols>
    <col min="2" max="2" width="18.7109375" customWidth="1"/>
    <col min="3" max="4" width="15.7109375" customWidth="1"/>
    <col min="5" max="5" width="21.5703125" bestFit="1" customWidth="1"/>
    <col min="6" max="6" width="2" bestFit="1" customWidth="1"/>
    <col min="7" max="7" width="12.7109375" customWidth="1"/>
    <col min="8" max="8" width="6.7109375" customWidth="1"/>
    <col min="9" max="9" width="51" bestFit="1" customWidth="1"/>
    <col min="10" max="10" width="41.85546875" bestFit="1" customWidth="1"/>
    <col min="11" max="11" width="36.7109375" bestFit="1" customWidth="1"/>
    <col min="12" max="12" width="35.5703125" bestFit="1" customWidth="1"/>
    <col min="13" max="13" width="147.7109375" bestFit="1" customWidth="1"/>
    <col min="14" max="16" width="11.42578125" customWidth="1"/>
    <col min="17" max="17" width="222.85546875" customWidth="1"/>
  </cols>
  <sheetData>
    <row r="1" spans="1:17" ht="18" customHeight="1" x14ac:dyDescent="0.25">
      <c r="A1" s="2" t="s">
        <v>308</v>
      </c>
    </row>
    <row r="2" spans="1:17" ht="15" customHeight="1" x14ac:dyDescent="0.25">
      <c r="A2" t="s">
        <v>309</v>
      </c>
    </row>
    <row r="3" spans="1:17" ht="15" customHeight="1" x14ac:dyDescent="0.25">
      <c r="A3" s="3" t="s">
        <v>1</v>
      </c>
      <c r="B3" s="3" t="s">
        <v>2</v>
      </c>
      <c r="C3" s="4" t="s">
        <v>3</v>
      </c>
      <c r="E3" s="3" t="s">
        <v>322</v>
      </c>
      <c r="F3" s="3"/>
      <c r="G3" s="3"/>
      <c r="H3" s="3"/>
      <c r="I3" s="3"/>
      <c r="J3" s="3"/>
      <c r="K3" s="3"/>
      <c r="L3" s="3"/>
      <c r="M3" s="3"/>
      <c r="N3" s="239" t="s">
        <v>4</v>
      </c>
      <c r="O3" s="239"/>
      <c r="P3" s="239"/>
      <c r="Q3" s="3" t="s">
        <v>5</v>
      </c>
    </row>
    <row r="4" spans="1:17" ht="15" customHeight="1" x14ac:dyDescent="0.25">
      <c r="A4" s="3">
        <v>6031</v>
      </c>
      <c r="B4" s="5" t="s">
        <v>310</v>
      </c>
      <c r="C4" s="222"/>
      <c r="D4" t="s">
        <v>555</v>
      </c>
      <c r="E4" s="5" t="str">
        <f>"RAL" &amp; "_" &amp; A4 &amp; "_" &amp; B4</f>
        <v>RAL_6031_Bronzegrün</v>
      </c>
      <c r="F4" s="237" t="s">
        <v>574</v>
      </c>
      <c r="G4" s="5" t="str">
        <f>D4 &amp; "&amp;"</f>
        <v>&amp;H465748&amp;</v>
      </c>
      <c r="H4" s="5">
        <f>LEN(E4)</f>
        <v>19</v>
      </c>
      <c r="I4" s="238" t="str">
        <f>"Case "&amp; "RAL" &amp; "_"&amp; A4 &amp;"_"&amp;B4&amp;": "&amp;REPT(" ",25-LEN(E4))&amp;"s = """&amp;B4&amp;""""</f>
        <v>Case RAL_6031_Bronzegrün:       s = "Bronzegrün"</v>
      </c>
      <c r="J4" s="238" t="str">
        <f>"Case " &amp; "RAL" &amp; "_" &amp; A4 &amp;"_"&amp;B4&amp;": "&amp;REPT(" ",25-H4) &amp; "n = " &amp; A4</f>
        <v>Case RAL_6031_Bronzegrün:       n = 6031</v>
      </c>
      <c r="K4" s="238" t="str">
        <f>"Case " &amp; A4 &amp; ": c = " &amp; "RAL" &amp; "_" &amp; A4 &amp; "_" &amp; B4</f>
        <v>Case 6031: c = RAL_6031_Bronzegrün</v>
      </c>
      <c r="L4" s="238" t="str">
        <f xml:space="preserve"> "MColor.CIELab(" &amp; SUBSTITUTE(N4, ",", ".") &amp; ", " &amp; SUBSTITUTE(O4, ",", ".") &amp; ", " &amp; SUBSTITUTE(P4, ",", ".") &amp; ")"</f>
        <v>MColor.CIELab(35.27, -9.41, 7.58)</v>
      </c>
      <c r="M4" s="238" t="str">
        <f>"m_Arr(i) = TNamedRALColor(""" &amp; B4 &amp; """, " &amp; A4 &amp; ", RALClassic." &amp; E4 &amp; ", " &amp; L4 &amp; "): " &amp; REPT(" ", (73-LEN(L4))-2*H4) &amp; "i = i + 1"</f>
        <v>m_Arr(i) = TNamedRALColor("Bronzegrün", 6031, RALClassic.RAL_6031_Bronzegrün, MColor.CIELab(35.27, -9.41, 7.58)):   i = i + 1</v>
      </c>
      <c r="N4" s="238">
        <v>35.270000000000003</v>
      </c>
      <c r="O4" s="238">
        <v>-9.41</v>
      </c>
      <c r="P4" s="238">
        <v>7.58</v>
      </c>
      <c r="Q4" s="8" t="s">
        <v>311</v>
      </c>
    </row>
    <row r="5" spans="1:17" ht="15" customHeight="1" x14ac:dyDescent="0.25">
      <c r="A5" s="3">
        <v>8027</v>
      </c>
      <c r="B5" s="5" t="s">
        <v>312</v>
      </c>
      <c r="C5" s="223"/>
      <c r="D5" t="s">
        <v>556</v>
      </c>
      <c r="E5" s="5" t="str">
        <f t="shared" ref="E5:E11" si="0">"RAL" &amp; "_" &amp; A5 &amp; "_" &amp; B5</f>
        <v>RAL_8027_Lederbraun</v>
      </c>
      <c r="F5" s="237" t="s">
        <v>574</v>
      </c>
      <c r="G5" s="5" t="str">
        <f t="shared" ref="G5:G11" si="1">D5 &amp; "&amp;"</f>
        <v>&amp;H384950&amp;</v>
      </c>
      <c r="H5" s="5">
        <f t="shared" ref="H5:H11" si="2">LEN(E5)</f>
        <v>19</v>
      </c>
      <c r="I5" s="238" t="str">
        <f t="shared" ref="I5:I11" si="3">"Case "&amp; "RAL" &amp; "_"&amp; A5 &amp;"_"&amp;B5&amp;": "&amp;REPT(" ",25-LEN(E5))&amp;"s = """&amp;B5&amp;""""</f>
        <v>Case RAL_8027_Lederbraun:       s = "Lederbraun"</v>
      </c>
      <c r="J5" s="238" t="str">
        <f t="shared" ref="J5:J11" si="4">"Case " &amp; "RAL" &amp; "_" &amp; A5 &amp;"_"&amp;B5&amp;": "&amp;REPT(" ",25-H5) &amp; "n = " &amp; A5</f>
        <v>Case RAL_8027_Lederbraun:       n = 8027</v>
      </c>
      <c r="K5" s="238" t="str">
        <f t="shared" ref="K5:K11" si="5">"Case " &amp; A5 &amp; ": c = " &amp; "RAL" &amp; "_" &amp; A5 &amp; "_" &amp; B5</f>
        <v>Case 8027: c = RAL_8027_Lederbraun</v>
      </c>
      <c r="L5" s="238" t="str">
        <f t="shared" ref="L5:L11" si="6" xml:space="preserve"> "MColor.CIELab(" &amp; SUBSTITUTE(N5, ",", ".") &amp; ", " &amp; SUBSTITUTE(O5, ",", ".") &amp; ", " &amp; SUBSTITUTE(P5, ",", ".") &amp; ")"</f>
        <v>MColor.CIELab(31.24, -0.01, 10.92)</v>
      </c>
      <c r="M5" s="238" t="str">
        <f t="shared" ref="M5:M11" si="7">"m_Arr(i) = TNamedRALColor(""" &amp; B5 &amp; """, " &amp; A5 &amp; ", RALClassic." &amp; E5 &amp; ", " &amp; L5 &amp; "): " &amp; REPT(" ", (73-LEN(L5))-2*H5) &amp; "i = i + 1"</f>
        <v>m_Arr(i) = TNamedRALColor("Lederbraun", 8027, RALClassic.RAL_8027_Lederbraun, MColor.CIELab(31.24, -0.01, 10.92)):  i = i + 1</v>
      </c>
      <c r="N5" s="238">
        <v>31.24</v>
      </c>
      <c r="O5" s="238">
        <v>-0.01</v>
      </c>
      <c r="P5" s="238">
        <v>10.92</v>
      </c>
      <c r="Q5" s="5" t="s">
        <v>313</v>
      </c>
    </row>
    <row r="6" spans="1:17" ht="15" customHeight="1" x14ac:dyDescent="0.25">
      <c r="A6" s="3">
        <v>9021</v>
      </c>
      <c r="B6" s="5" t="s">
        <v>314</v>
      </c>
      <c r="C6" s="224"/>
      <c r="D6" t="s">
        <v>557</v>
      </c>
      <c r="E6" s="5" t="str">
        <f t="shared" si="0"/>
        <v>RAL_9021_Teerschwarz</v>
      </c>
      <c r="F6" s="237" t="s">
        <v>574</v>
      </c>
      <c r="G6" s="5" t="str">
        <f t="shared" si="1"/>
        <v>&amp;HE0501&amp;</v>
      </c>
      <c r="H6" s="5">
        <f t="shared" si="2"/>
        <v>20</v>
      </c>
      <c r="I6" s="238" t="str">
        <f t="shared" si="3"/>
        <v>Case RAL_9021_Teerschwarz:      s = "Teerschwarz"</v>
      </c>
      <c r="J6" s="238" t="str">
        <f t="shared" si="4"/>
        <v>Case RAL_9021_Teerschwarz:      n = 9021</v>
      </c>
      <c r="K6" s="238" t="str">
        <f t="shared" si="5"/>
        <v>Case 9021: c = RAL_9021_Teerschwarz</v>
      </c>
      <c r="L6" s="238" t="str">
        <f t="shared" si="6"/>
        <v>MColor.CIELab(1.33, 0.285, -4.04)</v>
      </c>
      <c r="M6" s="238" t="str">
        <f t="shared" si="7"/>
        <v>m_Arr(i) = TNamedRALColor("Teerschwarz", 9021, RALClassic.RAL_9021_Teerschwarz, MColor.CIELab(1.33, 0.285, -4.04)): i = i + 1</v>
      </c>
      <c r="N6" s="238">
        <v>1.33</v>
      </c>
      <c r="O6" s="238">
        <v>0.28499999999999998</v>
      </c>
      <c r="P6" s="238">
        <v>-4.04</v>
      </c>
      <c r="Q6" s="5" t="s">
        <v>315</v>
      </c>
    </row>
    <row r="7" spans="1:17" ht="15" customHeight="1" x14ac:dyDescent="0.25">
      <c r="A7" s="3">
        <v>1039</v>
      </c>
      <c r="B7" s="5" t="s">
        <v>316</v>
      </c>
      <c r="C7" s="225"/>
      <c r="D7" t="s">
        <v>558</v>
      </c>
      <c r="E7" s="5" t="str">
        <f t="shared" si="0"/>
        <v>RAL_1039_Sandbeige</v>
      </c>
      <c r="F7" s="237" t="s">
        <v>574</v>
      </c>
      <c r="G7" s="5" t="str">
        <f t="shared" si="1"/>
        <v>&amp;H9EC1CE&amp;</v>
      </c>
      <c r="H7" s="5">
        <f t="shared" si="2"/>
        <v>18</v>
      </c>
      <c r="I7" s="238" t="str">
        <f t="shared" si="3"/>
        <v>Case RAL_1039_Sandbeige:        s = "Sandbeige"</v>
      </c>
      <c r="J7" s="238" t="str">
        <f t="shared" si="4"/>
        <v>Case RAL_1039_Sandbeige:        n = 1039</v>
      </c>
      <c r="K7" s="238" t="str">
        <f t="shared" si="5"/>
        <v>Case 1039: c = RAL_1039_Sandbeige</v>
      </c>
      <c r="L7" s="238" t="str">
        <f t="shared" si="6"/>
        <v>MColor.CIELab(78.3, -0.66, 18.61)</v>
      </c>
      <c r="M7" s="238" t="str">
        <f t="shared" si="7"/>
        <v>m_Arr(i) = TNamedRALColor("Sandbeige", 1039, RALClassic.RAL_1039_Sandbeige, MColor.CIELab(78.3, -0.66, 18.61)):     i = i + 1</v>
      </c>
      <c r="N7" s="238">
        <v>78.3</v>
      </c>
      <c r="O7" s="238">
        <v>-0.66</v>
      </c>
      <c r="P7" s="238">
        <v>18.61</v>
      </c>
      <c r="Q7" s="226" t="s">
        <v>317</v>
      </c>
    </row>
    <row r="8" spans="1:17" ht="15" customHeight="1" x14ac:dyDescent="0.25">
      <c r="A8" s="3">
        <v>1040</v>
      </c>
      <c r="B8" s="5" t="s">
        <v>318</v>
      </c>
      <c r="C8" s="227"/>
      <c r="D8" t="s">
        <v>559</v>
      </c>
      <c r="E8" s="5" t="str">
        <f t="shared" si="0"/>
        <v>RAL_1040_Lehmbeige</v>
      </c>
      <c r="F8" s="237" t="s">
        <v>574</v>
      </c>
      <c r="G8" s="5" t="str">
        <f t="shared" si="1"/>
        <v>&amp;H81ACBB&amp;</v>
      </c>
      <c r="H8" s="5">
        <f t="shared" si="2"/>
        <v>18</v>
      </c>
      <c r="I8" s="238" t="str">
        <f t="shared" si="3"/>
        <v>Case RAL_1040_Lehmbeige:        s = "Lehmbeige"</v>
      </c>
      <c r="J8" s="238" t="str">
        <f t="shared" si="4"/>
        <v>Case RAL_1040_Lehmbeige:        n = 1040</v>
      </c>
      <c r="K8" s="238" t="str">
        <f t="shared" si="5"/>
        <v>Case 1040: c = RAL_1040_Lehmbeige</v>
      </c>
      <c r="L8" s="238" t="str">
        <f t="shared" si="6"/>
        <v>MColor.CIELab(70.63, -0.9, 23.51)</v>
      </c>
      <c r="M8" s="238" t="str">
        <f t="shared" si="7"/>
        <v>m_Arr(i) = TNamedRALColor("Lehmbeige", 1040, RALClassic.RAL_1040_Lehmbeige, MColor.CIELab(70.63, -0.9, 23.51)):     i = i + 1</v>
      </c>
      <c r="N8" s="238">
        <v>70.63</v>
      </c>
      <c r="O8" s="238">
        <v>-0.9</v>
      </c>
      <c r="P8" s="238">
        <v>23.51</v>
      </c>
      <c r="Q8" s="226" t="s">
        <v>317</v>
      </c>
    </row>
    <row r="9" spans="1:17" ht="15" customHeight="1" x14ac:dyDescent="0.25">
      <c r="A9" s="3">
        <v>6040</v>
      </c>
      <c r="B9" s="5" t="s">
        <v>319</v>
      </c>
      <c r="C9" s="228"/>
      <c r="D9" t="s">
        <v>560</v>
      </c>
      <c r="E9" s="5" t="str">
        <f t="shared" si="0"/>
        <v>RAL_6040_Helloliv</v>
      </c>
      <c r="F9" s="237" t="s">
        <v>574</v>
      </c>
      <c r="G9" s="5" t="str">
        <f t="shared" si="1"/>
        <v>&amp;H587E82&amp;</v>
      </c>
      <c r="H9" s="5">
        <f t="shared" si="2"/>
        <v>17</v>
      </c>
      <c r="I9" s="238" t="str">
        <f t="shared" si="3"/>
        <v>Case RAL_6040_Helloliv:         s = "Helloliv"</v>
      </c>
      <c r="J9" s="238" t="str">
        <f t="shared" si="4"/>
        <v>Case RAL_6040_Helloliv:         n = 6040</v>
      </c>
      <c r="K9" s="238" t="str">
        <f t="shared" si="5"/>
        <v>Case 6040: c = RAL_6040_Helloliv</v>
      </c>
      <c r="L9" s="238" t="str">
        <f t="shared" si="6"/>
        <v>MColor.CIELab(52.26, -4.57, 20.81)</v>
      </c>
      <c r="M9" s="238" t="str">
        <f t="shared" si="7"/>
        <v>m_Arr(i) = TNamedRALColor("Helloliv", 6040, RALClassic.RAL_6040_Helloliv, MColor.CIELab(52.26, -4.57, 20.81)):      i = i + 1</v>
      </c>
      <c r="N9" s="238">
        <v>52.26</v>
      </c>
      <c r="O9" s="238">
        <v>-4.57</v>
      </c>
      <c r="P9" s="238">
        <v>20.81</v>
      </c>
      <c r="Q9" s="226" t="s">
        <v>317</v>
      </c>
    </row>
    <row r="10" spans="1:17" ht="15" customHeight="1" x14ac:dyDescent="0.25">
      <c r="A10" s="3">
        <v>7050</v>
      </c>
      <c r="B10" s="5" t="s">
        <v>320</v>
      </c>
      <c r="C10" s="229"/>
      <c r="D10" t="s">
        <v>561</v>
      </c>
      <c r="E10" s="5" t="str">
        <f t="shared" si="0"/>
        <v>RAL_7050_Tarngrau</v>
      </c>
      <c r="F10" s="237" t="s">
        <v>574</v>
      </c>
      <c r="G10" s="5" t="str">
        <f t="shared" si="1"/>
        <v>&amp;H7A8882&amp;</v>
      </c>
      <c r="H10" s="5">
        <f t="shared" si="2"/>
        <v>17</v>
      </c>
      <c r="I10" s="238" t="str">
        <f t="shared" si="3"/>
        <v>Case RAL_7050_Tarngrau:         s = "Tarngrau"</v>
      </c>
      <c r="J10" s="238" t="str">
        <f t="shared" si="4"/>
        <v>Case RAL_7050_Tarngrau:         n = 7050</v>
      </c>
      <c r="K10" s="238" t="str">
        <f t="shared" si="5"/>
        <v>Case 7050: c = RAL_7050_Tarngrau</v>
      </c>
      <c r="L10" s="238" t="str">
        <f t="shared" si="6"/>
        <v>MColor.CIELab(55.85, -4.67, 6.19)</v>
      </c>
      <c r="M10" s="238" t="str">
        <f t="shared" si="7"/>
        <v>m_Arr(i) = TNamedRALColor("Tarngrau", 7050, RALClassic.RAL_7050_Tarngrau, MColor.CIELab(55.85, -4.67, 6.19)):       i = i + 1</v>
      </c>
      <c r="N10" s="238">
        <v>55.85</v>
      </c>
      <c r="O10" s="238">
        <v>-4.67</v>
      </c>
      <c r="P10" s="238">
        <v>6.19</v>
      </c>
      <c r="Q10" s="226" t="s">
        <v>317</v>
      </c>
    </row>
    <row r="11" spans="1:17" ht="15" customHeight="1" x14ac:dyDescent="0.25">
      <c r="A11" s="3">
        <v>8031</v>
      </c>
      <c r="B11" s="5" t="s">
        <v>321</v>
      </c>
      <c r="C11" s="230"/>
      <c r="D11" t="s">
        <v>562</v>
      </c>
      <c r="E11" s="5" t="str">
        <f t="shared" si="0"/>
        <v>RAL_8031_Sandbraun</v>
      </c>
      <c r="F11" s="237" t="s">
        <v>574</v>
      </c>
      <c r="G11" s="5" t="str">
        <f t="shared" si="1"/>
        <v>&amp;H7B9DB4&amp;</v>
      </c>
      <c r="H11" s="5">
        <f t="shared" si="2"/>
        <v>18</v>
      </c>
      <c r="I11" s="238" t="str">
        <f t="shared" si="3"/>
        <v>Case RAL_8031_Sandbraun:        s = "Sandbraun"</v>
      </c>
      <c r="J11" s="238" t="str">
        <f t="shared" si="4"/>
        <v>Case RAL_8031_Sandbraun:        n = 8031</v>
      </c>
      <c r="K11" s="238" t="str">
        <f t="shared" si="5"/>
        <v>Case 8031: c = RAL_8031_Sandbraun</v>
      </c>
      <c r="L11" s="238" t="str">
        <f t="shared" si="6"/>
        <v>MColor.CIELab(65.94, 3.61, 20.34)</v>
      </c>
      <c r="M11" s="238" t="str">
        <f t="shared" si="7"/>
        <v>m_Arr(i) = TNamedRALColor("Sandbraun", 8031, RALClassic.RAL_8031_Sandbraun, MColor.CIELab(65.94, 3.61, 20.34)):     i = i + 1</v>
      </c>
      <c r="N11" s="238">
        <v>65.94</v>
      </c>
      <c r="O11" s="238">
        <v>3.61</v>
      </c>
      <c r="P11" s="238">
        <v>20.34</v>
      </c>
      <c r="Q11" s="226" t="s">
        <v>317</v>
      </c>
    </row>
    <row r="12" spans="1:17" ht="15" customHeight="1" x14ac:dyDescent="0.25"/>
    <row r="13" spans="1:17" ht="15" customHeight="1" x14ac:dyDescent="0.25"/>
    <row r="14" spans="1:17" ht="15" customHeight="1" x14ac:dyDescent="0.25"/>
    <row r="15" spans="1:17" ht="15" customHeight="1" x14ac:dyDescent="0.25"/>
    <row r="16" spans="1:1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1">
    <mergeCell ref="N3:P3"/>
  </mergeCells>
  <hyperlinks>
    <hyperlink ref="C3" r:id="rId1" location="cite_note-wiedergabe-5" display="https://de.wikipedia.org/wiki/RAL-Farbe - cite_note-wiedergabe-5" xr:uid="{00000000-0004-0000-0900-000000000000}"/>
    <hyperlink ref="Q4" r:id="rId2" tooltip="Flecktarn (Bundeswehr)" display="https://de.wikipedia.org/wiki/Flecktarn_(Bundeswehr)" xr:uid="{00000000-0004-0000-0900-000001000000}"/>
    <hyperlink ref="N3" r:id="rId3" tooltip="Lab-Farbraum" display="https://de.wikipedia.org/wiki/Lab-Farbraum" xr:uid="{344064FB-964F-4895-B641-738D7D30EF97}"/>
  </hyperlinks>
  <pageMargins left="0.7" right="0.7" top="0.78740157499999996" bottom="0.78740157499999996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2:G6"/>
  <sheetViews>
    <sheetView workbookViewId="0"/>
  </sheetViews>
  <sheetFormatPr baseColWidth="10" defaultRowHeight="15" x14ac:dyDescent="0.25"/>
  <cols>
    <col min="1" max="1" width="13.85546875" customWidth="1"/>
  </cols>
  <sheetData>
    <row r="2" spans="1:7" x14ac:dyDescent="0.25">
      <c r="B2" t="s">
        <v>332</v>
      </c>
      <c r="E2" s="234" t="s">
        <v>341</v>
      </c>
      <c r="F2" s="234" t="s">
        <v>342</v>
      </c>
      <c r="G2" s="234" t="s">
        <v>343</v>
      </c>
    </row>
    <row r="3" spans="1:7" x14ac:dyDescent="0.25">
      <c r="A3" t="s">
        <v>335</v>
      </c>
      <c r="B3" t="s">
        <v>333</v>
      </c>
      <c r="C3" t="s">
        <v>337</v>
      </c>
      <c r="D3" t="s">
        <v>339</v>
      </c>
      <c r="E3" s="234">
        <v>96.421999999999997</v>
      </c>
      <c r="F3" s="234">
        <v>100</v>
      </c>
      <c r="G3" s="234">
        <v>85.521000000000001</v>
      </c>
    </row>
    <row r="4" spans="1:7" x14ac:dyDescent="0.25">
      <c r="A4" t="s">
        <v>336</v>
      </c>
      <c r="B4" t="s">
        <v>334</v>
      </c>
      <c r="C4" t="s">
        <v>337</v>
      </c>
      <c r="D4" t="s">
        <v>339</v>
      </c>
      <c r="E4" s="234">
        <v>95.046999999999997</v>
      </c>
      <c r="F4" s="234">
        <v>100</v>
      </c>
      <c r="G4" s="234">
        <v>108.883</v>
      </c>
    </row>
    <row r="5" spans="1:7" x14ac:dyDescent="0.25">
      <c r="A5" t="s">
        <v>335</v>
      </c>
      <c r="B5" t="s">
        <v>333</v>
      </c>
      <c r="C5" t="s">
        <v>338</v>
      </c>
      <c r="D5" t="s">
        <v>340</v>
      </c>
      <c r="E5" s="234">
        <v>96.72</v>
      </c>
      <c r="F5" s="234">
        <v>100</v>
      </c>
      <c r="G5" s="234">
        <v>81.427000000000007</v>
      </c>
    </row>
    <row r="6" spans="1:7" x14ac:dyDescent="0.25">
      <c r="A6" t="s">
        <v>336</v>
      </c>
      <c r="B6" t="s">
        <v>334</v>
      </c>
      <c r="C6" t="s">
        <v>338</v>
      </c>
      <c r="D6" t="s">
        <v>340</v>
      </c>
      <c r="E6" s="234">
        <v>94.811000000000007</v>
      </c>
      <c r="F6" s="234">
        <v>100</v>
      </c>
      <c r="G6" s="234">
        <v>107.304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R4"/>
  <sheetViews>
    <sheetView workbookViewId="0"/>
  </sheetViews>
  <sheetFormatPr baseColWidth="10" defaultRowHeight="15" x14ac:dyDescent="0.25"/>
  <sheetData>
    <row r="1" spans="1:18" x14ac:dyDescent="0.25">
      <c r="J1" s="234" t="s">
        <v>341</v>
      </c>
      <c r="K1" s="234" t="s">
        <v>342</v>
      </c>
      <c r="L1" s="234" t="s">
        <v>343</v>
      </c>
    </row>
    <row r="2" spans="1:18" x14ac:dyDescent="0.25">
      <c r="J2" s="234">
        <v>96.72</v>
      </c>
      <c r="K2" s="234">
        <v>100</v>
      </c>
      <c r="L2" s="234">
        <v>81.427000000000007</v>
      </c>
    </row>
    <row r="3" spans="1:18" x14ac:dyDescent="0.25">
      <c r="A3" s="234" t="s">
        <v>323</v>
      </c>
      <c r="B3" s="234" t="s">
        <v>324</v>
      </c>
      <c r="C3" s="234" t="s">
        <v>325</v>
      </c>
      <c r="D3" s="234" t="s">
        <v>323</v>
      </c>
      <c r="E3" s="234" t="s">
        <v>324</v>
      </c>
      <c r="F3" s="234" t="s">
        <v>325</v>
      </c>
      <c r="G3" s="234" t="s">
        <v>326</v>
      </c>
      <c r="H3" s="234" t="s">
        <v>327</v>
      </c>
      <c r="I3" s="234" t="s">
        <v>328</v>
      </c>
      <c r="J3" s="234" t="s">
        <v>326</v>
      </c>
      <c r="K3" s="234" t="s">
        <v>327</v>
      </c>
      <c r="L3" s="234" t="s">
        <v>328</v>
      </c>
      <c r="M3" s="234" t="s">
        <v>329</v>
      </c>
      <c r="N3" s="234" t="s">
        <v>330</v>
      </c>
      <c r="O3" s="234" t="s">
        <v>331</v>
      </c>
      <c r="P3" s="234" t="s">
        <v>329</v>
      </c>
      <c r="Q3" s="234" t="s">
        <v>330</v>
      </c>
      <c r="R3" s="234" t="s">
        <v>331</v>
      </c>
    </row>
    <row r="4" spans="1:18" x14ac:dyDescent="0.25">
      <c r="A4" s="234">
        <v>248</v>
      </c>
      <c r="B4" s="234">
        <v>29</v>
      </c>
      <c r="C4" s="234">
        <v>112</v>
      </c>
      <c r="D4" s="234">
        <f>A4/255</f>
        <v>0.97254901960784312</v>
      </c>
      <c r="E4" s="234">
        <f t="shared" ref="E4:F4" si="0">B4/255</f>
        <v>0.11372549019607843</v>
      </c>
      <c r="F4" s="234">
        <f t="shared" si="0"/>
        <v>0.4392156862745098</v>
      </c>
      <c r="G4" s="234">
        <f xml:space="preserve"> 0.4124564 * D4 + 0.3575761 * E4 + 0.1804375 * F4</f>
        <v>0.52105056509803926</v>
      </c>
      <c r="H4" s="234">
        <f xml:space="preserve"> 0.2126729 * D4 + 0.7151522 * E4 + 0.072175 * F4</f>
        <v>0.31986624705882355</v>
      </c>
      <c r="I4" s="234">
        <f xml:space="preserve"> 0.0193339 * D4 + 0.119192 * E4 + 0.9503041 * F4</f>
        <v>0.44974680156862745</v>
      </c>
      <c r="J4" s="234">
        <v>0.42080000000000001</v>
      </c>
      <c r="K4" s="234">
        <v>0.22011</v>
      </c>
      <c r="L4" s="234">
        <v>0.17358999999999999</v>
      </c>
      <c r="M4" s="234">
        <f xml:space="preserve"> 116 * (K4 / K2)^(1/3) - 16</f>
        <v>-0.91062515868975069</v>
      </c>
      <c r="N4" s="234">
        <f xml:space="preserve"> 500 * ((J4 / J2)^(1/3) - (K4 / K2)^(1/3))</f>
        <v>16.584583273057035</v>
      </c>
      <c r="O4" s="234">
        <f xml:space="preserve"> 200 * ((K4 / K2)^(1/3) - (L4 / L2)^(1/3))</f>
        <v>0.27575598603372664</v>
      </c>
      <c r="P4" s="234">
        <v>55</v>
      </c>
      <c r="Q4" s="234">
        <v>78.8</v>
      </c>
      <c r="R4" s="234">
        <v>13.9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RAL 1x</vt:lpstr>
      <vt:lpstr>RAL 2x</vt:lpstr>
      <vt:lpstr>RAL 3x</vt:lpstr>
      <vt:lpstr>RAL 4x</vt:lpstr>
      <vt:lpstr>RAL 5x</vt:lpstr>
      <vt:lpstr>RAL 6x</vt:lpstr>
      <vt:lpstr>RAL 7x</vt:lpstr>
      <vt:lpstr>RAL 8x</vt:lpstr>
      <vt:lpstr>RAL 9x</vt:lpstr>
      <vt:lpstr>RAL F9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Meyer</dc:creator>
  <cp:lastModifiedBy>Oliver Meyer</cp:lastModifiedBy>
  <dcterms:created xsi:type="dcterms:W3CDTF">2022-02-21T09:40:43Z</dcterms:created>
  <dcterms:modified xsi:type="dcterms:W3CDTF">2026-10-05T20:35:27Z</dcterms:modified>
</cp:coreProperties>
</file>